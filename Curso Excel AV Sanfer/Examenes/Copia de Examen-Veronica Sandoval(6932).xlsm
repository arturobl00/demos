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8_{0A76D816-47F9-4745-850C-1C51A956D0A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Canadá" sheetId="11" r:id="rId2"/>
    <sheet name="Francia" sheetId="16" r:id="rId3"/>
    <sheet name="Alemania" sheetId="13" r:id="rId4"/>
    <sheet name="México" sheetId="14" r:id="rId5"/>
    <sheet name="EU" sheetId="15" r:id="rId6"/>
    <sheet name="POWERBI" sheetId="17" r:id="rId7"/>
  </sheets>
  <definedNames>
    <definedName name="_xlnm._FilterDatabase" localSheetId="0" hidden="1">Hoja1!$A$37:$I$146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1" l="1"/>
  <c r="F29" i="1"/>
  <c r="F30" i="1"/>
  <c r="F31" i="1"/>
  <c r="F32" i="1"/>
  <c r="F27" i="1"/>
  <c r="E28" i="1"/>
  <c r="E29" i="1"/>
  <c r="E30" i="1"/>
  <c r="E31" i="1"/>
  <c r="E32" i="1"/>
  <c r="E27" i="1"/>
  <c r="C152" i="1" l="1"/>
  <c r="C150" i="1" l="1"/>
  <c r="F39" i="1" l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G38" i="1"/>
  <c r="H38" i="1"/>
  <c r="F38" i="1"/>
  <c r="B8" i="1"/>
  <c r="C11" i="1" s="1"/>
  <c r="D11" i="1" s="1"/>
  <c r="E11" i="1" s="1"/>
  <c r="C148" i="1" l="1"/>
  <c r="I45" i="1"/>
  <c r="I51" i="1"/>
  <c r="I144" i="1"/>
  <c r="I128" i="1"/>
  <c r="I50" i="1"/>
  <c r="I38" i="1"/>
  <c r="I96" i="1"/>
  <c r="I71" i="1"/>
  <c r="I80" i="1"/>
  <c r="I136" i="1"/>
  <c r="I42" i="1"/>
  <c r="I143" i="1"/>
  <c r="I135" i="1"/>
  <c r="I127" i="1"/>
  <c r="I119" i="1"/>
  <c r="I112" i="1"/>
  <c r="I61" i="1"/>
  <c r="I48" i="1"/>
  <c r="I111" i="1"/>
  <c r="I103" i="1"/>
  <c r="I87" i="1"/>
  <c r="I63" i="1"/>
  <c r="I47" i="1"/>
  <c r="I39" i="1"/>
  <c r="I98" i="1"/>
  <c r="I82" i="1"/>
  <c r="I69" i="1"/>
  <c r="I49" i="1"/>
  <c r="I97" i="1"/>
  <c r="I57" i="1"/>
  <c r="I41" i="1"/>
  <c r="I107" i="1"/>
  <c r="I91" i="1"/>
  <c r="I59" i="1"/>
  <c r="I53" i="1"/>
  <c r="I40" i="1"/>
  <c r="I139" i="1"/>
  <c r="I123" i="1"/>
  <c r="I67" i="1"/>
  <c r="I131" i="1"/>
  <c r="I145" i="1"/>
  <c r="I137" i="1"/>
  <c r="I129" i="1"/>
  <c r="I121" i="1"/>
  <c r="I89" i="1"/>
  <c r="I138" i="1"/>
  <c r="I130" i="1"/>
  <c r="I122" i="1"/>
  <c r="I114" i="1"/>
  <c r="I106" i="1"/>
  <c r="I146" i="1"/>
  <c r="I113" i="1"/>
  <c r="I105" i="1"/>
  <c r="I81" i="1"/>
  <c r="I73" i="1"/>
  <c r="I65" i="1"/>
  <c r="I141" i="1"/>
  <c r="I95" i="1"/>
  <c r="I90" i="1"/>
  <c r="I79" i="1"/>
  <c r="I74" i="1"/>
  <c r="I66" i="1"/>
  <c r="I58" i="1"/>
  <c r="I55" i="1"/>
  <c r="I120" i="1"/>
  <c r="I115" i="1"/>
  <c r="I104" i="1"/>
  <c r="I99" i="1"/>
  <c r="I88" i="1"/>
  <c r="I83" i="1"/>
  <c r="I75" i="1"/>
  <c r="I72" i="1"/>
  <c r="I64" i="1"/>
  <c r="I56" i="1"/>
  <c r="I43" i="1"/>
  <c r="I140" i="1"/>
  <c r="I133" i="1"/>
  <c r="I125" i="1"/>
  <c r="I117" i="1"/>
  <c r="I109" i="1"/>
  <c r="I101" i="1"/>
  <c r="I93" i="1"/>
  <c r="I85" i="1"/>
  <c r="I77" i="1"/>
  <c r="I142" i="1"/>
  <c r="I134" i="1"/>
  <c r="I132" i="1"/>
  <c r="I126" i="1"/>
  <c r="I124" i="1"/>
  <c r="I118" i="1"/>
  <c r="I116" i="1"/>
  <c r="I110" i="1"/>
  <c r="I108" i="1"/>
  <c r="I102" i="1"/>
  <c r="I100" i="1"/>
  <c r="I94" i="1"/>
  <c r="I92" i="1"/>
  <c r="I86" i="1"/>
  <c r="I84" i="1"/>
  <c r="I78" i="1"/>
  <c r="I76" i="1"/>
  <c r="I70" i="1"/>
  <c r="I68" i="1"/>
  <c r="I62" i="1"/>
  <c r="I60" i="1"/>
  <c r="I54" i="1"/>
  <c r="I52" i="1"/>
  <c r="I46" i="1"/>
  <c r="I44" i="1"/>
  <c r="C21" i="1"/>
  <c r="D21" i="1" s="1"/>
  <c r="E21" i="1" s="1"/>
  <c r="C13" i="1"/>
  <c r="D13" i="1" s="1"/>
  <c r="E13" i="1" s="1"/>
  <c r="C12" i="1"/>
  <c r="D12" i="1" s="1"/>
  <c r="E12" i="1" s="1"/>
  <c r="C16" i="1"/>
  <c r="D16" i="1" s="1"/>
  <c r="E16" i="1" s="1"/>
  <c r="C14" i="1"/>
  <c r="D14" i="1" s="1"/>
  <c r="E14" i="1" s="1"/>
  <c r="C20" i="1"/>
  <c r="D20" i="1" s="1"/>
  <c r="E20" i="1" s="1"/>
  <c r="C19" i="1"/>
  <c r="D19" i="1" s="1"/>
  <c r="E19" i="1" s="1"/>
  <c r="C18" i="1"/>
  <c r="D18" i="1" s="1"/>
  <c r="E18" i="1" s="1"/>
  <c r="C17" i="1"/>
  <c r="D17" i="1" s="1"/>
  <c r="E17" i="1" s="1"/>
  <c r="C15" i="1"/>
  <c r="D15" i="1" s="1"/>
  <c r="E15" i="1" s="1"/>
  <c r="C149" i="1" l="1"/>
  <c r="C153" i="1"/>
  <c r="C15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D8" authorId="0" shapeId="0" xr:uid="{0B4361BE-B3A6-4CE3-A530-423E5F842173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
me llamo la atención el uso del hoy</t>
        </r>
      </text>
    </comment>
    <comment ref="G24" authorId="0" shapeId="0" xr:uid="{5BB44712-9590-4D55-A98C-5D4D6519181B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
</t>
        </r>
      </text>
    </comment>
    <comment ref="D148" authorId="0" shapeId="0" xr:uid="{5144666C-4B1A-423A-A50B-736D8DF06778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
</t>
        </r>
      </text>
    </comment>
    <comment ref="D149" authorId="0" shapeId="0" xr:uid="{85555FE7-1506-48CA-8365-C04A63BC13BB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
</t>
        </r>
      </text>
    </comment>
    <comment ref="D150" authorId="0" shapeId="0" xr:uid="{83583D5F-293E-489D-8CA0-4E0B67DAC20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
</t>
        </r>
      </text>
    </comment>
    <comment ref="D151" authorId="0" shapeId="0" xr:uid="{5F75C737-FC41-4338-BB82-49D45CE98B7A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
</t>
        </r>
      </text>
    </comment>
    <comment ref="D152" authorId="0" shapeId="0" xr:uid="{89C93F8A-9D6A-4560-9724-7AC0C9B3B6E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
</t>
        </r>
      </text>
    </comment>
    <comment ref="D153" authorId="0" shapeId="0" xr:uid="{187F423E-FBDE-4B0A-B9A2-837804C8835C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
</t>
        </r>
      </text>
    </comment>
    <comment ref="E159" authorId="0" shapeId="0" xr:uid="{DD4725DF-8B59-4C08-878C-91D980891FA4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No veo la pestaña</t>
        </r>
      </text>
    </comment>
    <comment ref="B162" authorId="0" shapeId="0" xr:uid="{942CD34E-8F9B-4ED0-86D8-7267B39E200D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
</t>
        </r>
      </text>
    </comment>
    <comment ref="C179" authorId="0" shapeId="0" xr:uid="{EDAE5483-E286-43A8-A02E-B812487E2283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
</t>
        </r>
      </text>
    </comment>
    <comment ref="G893" authorId="0" shapeId="0" xr:uid="{C2B7D638-29D9-4277-A65D-504F021C2CD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
</t>
        </r>
      </text>
    </comment>
  </commentList>
</comments>
</file>

<file path=xl/sharedStrings.xml><?xml version="1.0" encoding="utf-8"?>
<sst xmlns="http://schemas.openxmlformats.org/spreadsheetml/2006/main" count="6174" uniqueCount="259">
  <si>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</si>
  <si>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</si>
  <si>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</si>
  <si>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</si>
  <si>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</si>
  <si>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</si>
  <si>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</si>
  <si>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</si>
  <si>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</si>
  <si>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</si>
  <si>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</si>
  <si>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</si>
  <si>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</si>
  <si>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</si>
  <si>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</si>
  <si>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</si>
  <si>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</si>
  <si>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</si>
  <si>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</si>
  <si>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</si>
  <si>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</si>
  <si>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</si>
  <si>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</si>
  <si>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</si>
  <si>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</si>
  <si>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</si>
  <si>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</si>
  <si>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</si>
  <si>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</si>
  <si>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</si>
  <si>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</si>
  <si>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</si>
  <si>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</si>
  <si>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</si>
  <si>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</si>
  <si>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resultado de "consumible" o "caduco" dependiendo de las fechas de caducidad.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</si>
  <si>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</si>
  <si>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</si>
  <si>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</si>
  <si>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</si>
  <si>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</si>
  <si>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</si>
  <si>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</si>
  <si>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</si>
  <si>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</si>
  <si>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</si>
  <si>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</si>
  <si>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</si>
  <si>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</si>
  <si>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</si>
  <si>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</si>
  <si>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</si>
  <si>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</si>
  <si>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</si>
  <si>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</si>
  <si>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</si>
  <si>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</si>
  <si>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</si>
  <si>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</si>
  <si>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</si>
  <si>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</si>
  <si>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</si>
  <si>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</si>
  <si>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</si>
  <si>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</si>
  <si>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</si>
  <si>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</si>
  <si>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</si>
  <si>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</si>
  <si>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</si>
  <si>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</si>
  <si>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</si>
  <si>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</si>
  <si>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</si>
  <si>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</si>
  <si>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</si>
  <si>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</si>
  <si>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</si>
  <si>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</si>
  <si>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</si>
  <si>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</si>
  <si>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</si>
  <si>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</si>
  <si>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</si>
  <si>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</si>
  <si>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</si>
  <si>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</si>
  <si>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</si>
  <si>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</si>
  <si>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</si>
  <si>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</si>
  <si>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</si>
  <si>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</si>
  <si>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</si>
  <si>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</si>
  <si>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</si>
  <si>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</si>
  <si>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</si>
  <si>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</si>
  <si>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</si>
  <si>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</si>
  <si>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</si>
  <si>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</si>
  <si>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</si>
  <si>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</si>
  <si>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</si>
  <si>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</si>
  <si>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</si>
  <si>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</si>
  <si>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</si>
  <si>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</si>
  <si>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</si>
  <si>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</si>
  <si>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</si>
  <si>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</si>
  <si>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</si>
  <si>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</si>
  <si>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</si>
  <si>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</si>
  <si>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</si>
  <si>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</si>
  <si>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</si>
  <si>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</si>
  <si>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</si>
  <si>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</si>
  <si>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</si>
  <si>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</si>
  <si>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</si>
  <si>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</si>
  <si>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</si>
  <si>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</si>
  <si>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</si>
  <si>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</si>
  <si>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</si>
  <si>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</si>
  <si>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</si>
  <si>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</si>
  <si>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</si>
  <si>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</si>
  <si>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</si>
  <si>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</si>
  <si>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</si>
  <si>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</si>
  <si>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</si>
  <si>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</si>
  <si>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</si>
  <si>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</si>
  <si>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</si>
  <si>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</si>
  <si>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</si>
  <si>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</si>
  <si>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</si>
  <si>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</si>
  <si>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</si>
  <si>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</si>
  <si>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</si>
  <si>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</si>
  <si>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</si>
  <si>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</si>
  <si>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</si>
  <si>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</si>
  <si>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</si>
  <si>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</si>
  <si>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</si>
  <si>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</si>
  <si>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</si>
  <si>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</si>
  <si>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</si>
  <si>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</si>
  <si>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</si>
  <si>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</si>
  <si>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</si>
  <si>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</si>
  <si>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</si>
  <si>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</si>
  <si>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</si>
  <si>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</si>
  <si>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</si>
  <si>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</si>
  <si>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</si>
  <si>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</si>
  <si>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</si>
  <si>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</si>
  <si>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</si>
  <si>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</si>
  <si>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</si>
  <si>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</si>
  <si>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</si>
  <si>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</si>
  <si>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Ventas MX</t>
  </si>
  <si>
    <t>2) Total de ventas global de la plataforma PS4</t>
  </si>
  <si>
    <t>3) Número de ventas de la plataforma Xone, genero Racing</t>
  </si>
  <si>
    <t>5) Cuantos juegos de Call of Duty se vendieron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</si>
  <si>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</si>
  <si>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</si>
  <si>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</si>
  <si>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</si>
  <si>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</si>
  <si>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</si>
  <si>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</si>
  <si>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Telefono:</t>
  </si>
  <si>
    <t>Edad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</si>
  <si>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</si>
  <si>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</si>
  <si>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</si>
  <si>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</si>
  <si>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</si>
  <si>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</si>
  <si>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</si>
  <si>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</si>
  <si>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</si>
  <si>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</si>
  <si>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</si>
  <si>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</si>
  <si>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</si>
  <si>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</si>
  <si>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</si>
  <si>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</si>
  <si>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</si>
  <si>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</si>
  <si>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</si>
  <si>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</si>
  <si>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</si>
  <si>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</si>
  <si>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</si>
  <si>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</si>
  <si>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</si>
  <si>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</si>
  <si>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</si>
  <si>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</si>
  <si>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</si>
  <si>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</si>
  <si>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</si>
  <si>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</si>
  <si>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</si>
  <si>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</si>
  <si>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</si>
  <si>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</si>
  <si>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</si>
  <si>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</si>
  <si>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</si>
  <si>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</si>
  <si>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</si>
  <si>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</si>
  <si>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</si>
  <si>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</si>
  <si>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</si>
  <si>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</si>
  <si>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</si>
  <si>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</si>
  <si>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1) Total de ventas de la plataforma WII en México</t>
  </si>
  <si>
    <t>6) Cual es el promedio general de ventas global de Ubisoft</t>
  </si>
  <si>
    <t>4) Promedio de ventas globales de la empresa Nintendo</t>
  </si>
  <si>
    <t>Total</t>
  </si>
  <si>
    <t>https://app.powerbi.com/groups/me/reports/7fa5de0c-f081-4d94-8961-1c8728536b08?ctid=4c36a9cf-b11e-4224-b977-1e1d2d3a4d23&amp;pbi_source=linkShare</t>
  </si>
  <si>
    <t>https://app.powerbi.com/groups/me/dashboards/9cccdda3-08c6-4439-bdf0-12086c3f429f?redirectedFromSignup=1</t>
  </si>
  <si>
    <t xml:space="preserve">Nota: Anexo captura de pantalla en la última hoja, de acuerdo a sus indicaciones no fue posible copiar vínculo del panel, solo el informe. </t>
  </si>
  <si>
    <t>Todos los botones están en la pestaña "MI MACRO EXAMEN"</t>
  </si>
  <si>
    <t>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</si>
</sst>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2">
    <xf numFmtId="0" fontId="0" fillId="0" borderId="0" xfId="0"/>
    <xf numFmtId="14" fontId="0" fillId="0" borderId="1" xfId="0" applyNumberFormat="1" applyBorder="1"/>
    <xf numFmtId="0" fontId="0" fillId="0" borderId="1" xfId="0" applyBorder="1"/>
    <xf numFmtId="44" fontId="0" fillId="0" borderId="1" xfId="1" applyFont="1" applyBorder="1"/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/>
    <xf numFmtId="44" fontId="0" fillId="0" borderId="3" xfId="1" applyFont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/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0" fontId="1" fillId="0" borderId="8" xfId="0" applyNumberFormat="1" applyFont="1" applyBorder="1"/>
    <xf numFmtId="44" fontId="0" fillId="0" borderId="8" xfId="0" applyNumberFormat="1" applyFont="1" applyBorder="1"/>
    <xf numFmtId="44" fontId="0" fillId="0" borderId="9" xfId="0" applyNumberFormat="1" applyFont="1" applyBorder="1"/>
    <xf numFmtId="164" fontId="0" fillId="3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164" fontId="0" fillId="0" borderId="0" xfId="0" applyNumberFormat="1" applyAlignment="1">
      <alignment horizontal="center"/>
    </xf>
    <xf numFmtId="0" fontId="3" fillId="4" borderId="10" xfId="0" applyFont="1" applyFill="1" applyBorder="1" applyAlignment="1">
      <alignment horizontal="center"/>
    </xf>
    <xf numFmtId="164" fontId="3" fillId="4" borderId="10" xfId="0" applyNumberFormat="1" applyFont="1" applyFill="1" applyBorder="1" applyAlignment="1">
      <alignment horizontal="center"/>
    </xf>
    <xf numFmtId="0" fontId="0" fillId="5" borderId="0" xfId="0" applyFont="1" applyFill="1" applyAlignment="1">
      <alignment horizontal="center"/>
    </xf>
    <xf numFmtId="164" fontId="0" fillId="5" borderId="0" xfId="0" applyNumberFormat="1" applyFont="1" applyFill="1" applyAlignment="1">
      <alignment horizontal="center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11" xfId="0" applyFont="1" applyBorder="1" applyAlignment="1">
      <alignment horizontal="center"/>
    </xf>
    <xf numFmtId="164" fontId="0" fillId="0" borderId="11" xfId="0" applyNumberFormat="1" applyFont="1" applyBorder="1" applyAlignment="1">
      <alignment horizontal="center"/>
    </xf>
    <xf numFmtId="0" fontId="4" fillId="0" borderId="0" xfId="2"/>
    <xf numFmtId="0" fontId="0" fillId="6" borderId="0" xfId="0" applyFill="1"/>
    <xf numFmtId="0" fontId="2" fillId="6" borderId="0" xfId="0" applyFont="1" applyFill="1"/>
    <xf numFmtId="0" fontId="0" fillId="6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0" xfId="0" applyFill="1" applyAlignment="1">
      <alignment horizontal="center" wrapText="1"/>
    </xf>
  </cellXfs>
  <cellStyles count="3">
    <cellStyle name="Hipervínculo" xfId="2" builtinId="8"/>
    <cellStyle name="Moneda" xfId="1" builtinId="4"/>
    <cellStyle name="Normal" xfId="0" builtinId="0"/>
  </cellStyles>
  <dxfs count="35">
    <dxf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189</xdr:row>
          <xdr:rowOff>9525</xdr:rowOff>
        </xdr:from>
        <xdr:to>
          <xdr:col>11</xdr:col>
          <xdr:colOff>438150</xdr:colOff>
          <xdr:row>193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 Países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</xdr:colOff>
      <xdr:row>0</xdr:row>
      <xdr:rowOff>39731</xdr:rowOff>
    </xdr:from>
    <xdr:to>
      <xdr:col>16</xdr:col>
      <xdr:colOff>284123</xdr:colOff>
      <xdr:row>36</xdr:row>
      <xdr:rowOff>180060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" y="39731"/>
          <a:ext cx="12447549" cy="699832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RegistroOperaciones" displayName="RegistroOperaciones" ref="A37:I147" totalsRowCount="1" headerRowDxfId="34" dataDxfId="32" headerRowBorderDxfId="33" tableBorderDxfId="31" totalsRowBorderDxfId="30" dataCellStyle="Moneda">
  <autoFilter ref="A37:I146" xr:uid="{00000000-0009-0000-0100-000002000000}"/>
  <tableColumns count="9">
    <tableColumn id="1" xr3:uid="{00000000-0010-0000-0000-000001000000}" name="Nombre" totalsRowLabel="Total" dataDxfId="29" totalsRowDxfId="28"/>
    <tableColumn id="2" xr3:uid="{00000000-0010-0000-0000-000002000000}" name="Plataforma" dataDxfId="27" totalsRowDxfId="26"/>
    <tableColumn id="3" xr3:uid="{00000000-0010-0000-0000-000003000000}" name="Año" dataDxfId="25" totalsRowDxfId="24"/>
    <tableColumn id="4" xr3:uid="{00000000-0010-0000-0000-000004000000}" name="Genero" dataDxfId="23" totalsRowDxfId="22"/>
    <tableColumn id="5" xr3:uid="{00000000-0010-0000-0000-000005000000}" name="Editorial" dataDxfId="21" totalsRowDxfId="20"/>
    <tableColumn id="6" xr3:uid="{00000000-0010-0000-0000-000006000000}" name="Ventas MX" dataDxfId="19" totalsRowDxfId="18" dataCellStyle="Moneda">
      <calculatedColumnFormula>RANDBETWEEN(50000,6000000)</calculatedColumnFormula>
    </tableColumn>
    <tableColumn id="7" xr3:uid="{00000000-0010-0000-0000-000007000000}" name="Ventas EU" dataDxfId="17" totalsRowDxfId="16" dataCellStyle="Moneda">
      <calculatedColumnFormula>RANDBETWEEN(50000,6000000)</calculatedColumnFormula>
    </tableColumn>
    <tableColumn id="8" xr3:uid="{00000000-0010-0000-0000-000008000000}" name="Ventas JP" dataDxfId="15" totalsRowDxfId="14" dataCellStyle="Moneda">
      <calculatedColumnFormula>RANDBETWEEN(50000,6000000)</calculatedColumnFormula>
    </tableColumn>
    <tableColumn id="9" xr3:uid="{00000000-0010-0000-0000-000009000000}" name="Ventas Global" dataDxfId="13" totalsRowDxfId="12" dataCellStyle="Moneda">
      <calculatedColumnFormula>SUM(F38:H38)</calculatedColumnFormula>
    </tableColumn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Ventas" displayName="Ventas" ref="A189:J889" totalsRowShown="0" headerRowDxfId="11" dataDxfId="10">
  <autoFilter ref="A189:J889" xr:uid="{00000000-0009-0000-0100-000001000000}">
    <filterColumn colId="1">
      <filters>
        <filter val="United States of America"/>
      </filters>
    </filterColumn>
  </autoFilter>
  <tableColumns count="10">
    <tableColumn id="1" xr3:uid="{00000000-0010-0000-0100-000001000000}" name="Segmento" dataDxfId="9"/>
    <tableColumn id="2" xr3:uid="{00000000-0010-0000-0100-000002000000}" name="País" dataDxfId="8"/>
    <tableColumn id="3" xr3:uid="{00000000-0010-0000-0100-000003000000}" name="Producto" dataDxfId="7"/>
    <tableColumn id="4" xr3:uid="{00000000-0010-0000-0100-000004000000}" name="Unidades Vendidas" dataDxfId="6"/>
    <tableColumn id="5" xr3:uid="{00000000-0010-0000-0100-000005000000}" name="Precio de Fabricación" dataDxfId="5"/>
    <tableColumn id="6" xr3:uid="{00000000-0010-0000-0100-000006000000}" name="Precio de Venta" dataDxfId="4"/>
    <tableColumn id="7" xr3:uid="{00000000-0010-0000-0100-000007000000}" name="Venta Bruta" dataDxfId="3"/>
    <tableColumn id="8" xr3:uid="{00000000-0010-0000-0100-000008000000}" name="Ventas" dataDxfId="2"/>
    <tableColumn id="9" xr3:uid="{00000000-0010-0000-0100-000009000000}" name="Ganancia" dataDxfId="1"/>
    <tableColumn id="10" xr3:uid="{00000000-0010-0000-0100-00000A000000}" name="Fecha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1.xml"/><Relationship Id="rId2" Type="http://schemas.openxmlformats.org/officeDocument/2006/relationships/hyperlink" Target="https://app.powerbi.com/groups/me/dashboards/9cccdda3-08c6-4439-bdf0-12086c3f429f?redirectedFromSignup=1" TargetMode="External"/><Relationship Id="rId1" Type="http://schemas.openxmlformats.org/officeDocument/2006/relationships/hyperlink" Target="https://app.powerbi.com/groups/me/reports/7fa5de0c-f081-4d94-8961-1c8728536b08?ctid=4c36a9cf-b11e-4224-b977-1e1d2d3a4d23&amp;pbi_source=linkShare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900"/>
  <sheetViews>
    <sheetView tabSelected="1" topLeftCell="A870" zoomScale="90" zoomScaleNormal="90" workbookViewId="0">
      <selection activeCell="G893" sqref="G893"/>
    </sheetView>
  </sheetViews>
  <sheetFormatPr baseColWidth="10" defaultRowHeight="15" x14ac:dyDescent="0.25"/>
  <cols>
    <col min="1" max="1" width="17.7109375" customWidth="1"/>
    <col min="2" max="2" width="34.28515625" customWidth="1"/>
    <col min="3" max="3" width="22.28515625" bestFit="1" customWidth="1"/>
    <col min="4" max="4" width="20.42578125" bestFit="1" customWidth="1"/>
    <col min="5" max="5" width="21.28515625" style="7" customWidth="1"/>
    <col min="6" max="6" width="17" customWidth="1"/>
    <col min="7" max="7" width="14.5703125" customWidth="1"/>
    <col min="8" max="8" width="14.85546875" bestFit="1" customWidth="1"/>
    <col min="9" max="9" width="16" bestFit="1" customWidth="1"/>
  </cols>
  <sheetData>
    <row r="1" spans="1:5" x14ac:dyDescent="0.25">
      <c r="A1" s="40" t="s">
        <v>32</v>
      </c>
      <c r="B1" s="40"/>
    </row>
    <row r="2" spans="1:5" x14ac:dyDescent="0.25">
      <c r="A2" s="40"/>
      <c r="B2" s="40"/>
    </row>
    <row r="4" spans="1:5" x14ac:dyDescent="0.25">
      <c r="A4" t="s">
        <v>33</v>
      </c>
    </row>
    <row r="5" spans="1:5" x14ac:dyDescent="0.25">
      <c r="A5" t="s">
        <v>34</v>
      </c>
    </row>
    <row r="6" spans="1:5" x14ac:dyDescent="0.25">
      <c r="A6" t="s">
        <v>35</v>
      </c>
    </row>
    <row r="8" spans="1:5" x14ac:dyDescent="0.25">
      <c r="A8" t="s">
        <v>0</v>
      </c>
      <c r="B8" s="1">
        <f ca="1">TODAY()</f>
        <v>44424</v>
      </c>
      <c r="D8">
        <v>1</v>
      </c>
    </row>
    <row r="10" spans="1:5" x14ac:dyDescent="0.25">
      <c r="A10" s="6" t="s">
        <v>1</v>
      </c>
      <c r="B10" s="6" t="s">
        <v>2</v>
      </c>
      <c r="C10" s="6" t="s">
        <v>3</v>
      </c>
      <c r="D10" s="6" t="s">
        <v>36</v>
      </c>
      <c r="E10" s="24" t="s">
        <v>4</v>
      </c>
    </row>
    <row r="11" spans="1:5" x14ac:dyDescent="0.25">
      <c r="A11" s="2">
        <v>100</v>
      </c>
      <c r="B11" s="2" t="s">
        <v>6</v>
      </c>
      <c r="C11" s="1">
        <f ca="1">B$8-RANDBETWEEN(10,20)</f>
        <v>44408</v>
      </c>
      <c r="D11" s="1">
        <f ca="1">C11+RANDBETWEEN(10,30)</f>
        <v>44431</v>
      </c>
      <c r="E11" s="6" t="str">
        <f ca="1">IF(D11&gt;=TODAY(),"Consumible", IF(D11&lt;=TODAY(),"Caduco",""))</f>
        <v>Consumible</v>
      </c>
    </row>
    <row r="12" spans="1:5" x14ac:dyDescent="0.25">
      <c r="A12" s="2">
        <v>101</v>
      </c>
      <c r="B12" s="2" t="s">
        <v>7</v>
      </c>
      <c r="C12" s="1">
        <f t="shared" ref="C12:C21" ca="1" si="0">B$8-RANDBETWEEN(10,20)</f>
        <v>44406</v>
      </c>
      <c r="D12" s="1">
        <f t="shared" ref="D12:D21" ca="1" si="1">C12+RANDBETWEEN(10,30)</f>
        <v>44427</v>
      </c>
      <c r="E12" s="6" t="str">
        <f t="shared" ref="E12:E21" ca="1" si="2">IF(D12&gt;=TODAY(),"Consumible", IF(D12&lt;=TODAY(),"Caduco",""))</f>
        <v>Consumible</v>
      </c>
    </row>
    <row r="13" spans="1:5" x14ac:dyDescent="0.25">
      <c r="A13" s="2">
        <v>102</v>
      </c>
      <c r="B13" s="2" t="s">
        <v>8</v>
      </c>
      <c r="C13" s="1">
        <f t="shared" ca="1" si="0"/>
        <v>44407</v>
      </c>
      <c r="D13" s="1">
        <f t="shared" ca="1" si="1"/>
        <v>44427</v>
      </c>
      <c r="E13" s="6" t="str">
        <f t="shared" ca="1" si="2"/>
        <v>Consumible</v>
      </c>
    </row>
    <row r="14" spans="1:5" x14ac:dyDescent="0.25">
      <c r="A14" s="2">
        <v>103</v>
      </c>
      <c r="B14" s="2" t="s">
        <v>9</v>
      </c>
      <c r="C14" s="1">
        <f t="shared" ca="1" si="0"/>
        <v>44413</v>
      </c>
      <c r="D14" s="1">
        <f t="shared" ca="1" si="1"/>
        <v>44436</v>
      </c>
      <c r="E14" s="6" t="str">
        <f t="shared" ca="1" si="2"/>
        <v>Consumible</v>
      </c>
    </row>
    <row r="15" spans="1:5" x14ac:dyDescent="0.25">
      <c r="A15" s="2">
        <v>104</v>
      </c>
      <c r="B15" s="2" t="s">
        <v>10</v>
      </c>
      <c r="C15" s="1">
        <f t="shared" ca="1" si="0"/>
        <v>44410</v>
      </c>
      <c r="D15" s="1">
        <f t="shared" ca="1" si="1"/>
        <v>44434</v>
      </c>
      <c r="E15" s="6" t="str">
        <f t="shared" ca="1" si="2"/>
        <v>Consumible</v>
      </c>
    </row>
    <row r="16" spans="1:5" x14ac:dyDescent="0.25">
      <c r="A16" s="2">
        <v>105</v>
      </c>
      <c r="B16" s="2" t="s">
        <v>11</v>
      </c>
      <c r="C16" s="1">
        <f t="shared" ca="1" si="0"/>
        <v>44410</v>
      </c>
      <c r="D16" s="1">
        <f t="shared" ca="1" si="1"/>
        <v>44427</v>
      </c>
      <c r="E16" s="6" t="str">
        <f t="shared" ca="1" si="2"/>
        <v>Consumible</v>
      </c>
    </row>
    <row r="17" spans="1:7" x14ac:dyDescent="0.25">
      <c r="A17" s="2">
        <v>106</v>
      </c>
      <c r="B17" s="2" t="s">
        <v>12</v>
      </c>
      <c r="C17" s="1">
        <f t="shared" ca="1" si="0"/>
        <v>44407</v>
      </c>
      <c r="D17" s="1">
        <f t="shared" ca="1" si="1"/>
        <v>44437</v>
      </c>
      <c r="E17" s="6" t="str">
        <f t="shared" ca="1" si="2"/>
        <v>Consumible</v>
      </c>
    </row>
    <row r="18" spans="1:7" x14ac:dyDescent="0.25">
      <c r="A18" s="2">
        <v>107</v>
      </c>
      <c r="B18" s="2" t="s">
        <v>5</v>
      </c>
      <c r="C18" s="1">
        <f t="shared" ca="1" si="0"/>
        <v>44405</v>
      </c>
      <c r="D18" s="1">
        <f t="shared" ca="1" si="1"/>
        <v>44429</v>
      </c>
      <c r="E18" s="6" t="str">
        <f t="shared" ca="1" si="2"/>
        <v>Consumible</v>
      </c>
    </row>
    <row r="19" spans="1:7" x14ac:dyDescent="0.25">
      <c r="A19" s="2">
        <v>108</v>
      </c>
      <c r="B19" s="2" t="s">
        <v>13</v>
      </c>
      <c r="C19" s="1">
        <f t="shared" ca="1" si="0"/>
        <v>44406</v>
      </c>
      <c r="D19" s="1">
        <f t="shared" ca="1" si="1"/>
        <v>44436</v>
      </c>
      <c r="E19" s="6" t="str">
        <f t="shared" ca="1" si="2"/>
        <v>Consumible</v>
      </c>
    </row>
    <row r="20" spans="1:7" x14ac:dyDescent="0.25">
      <c r="A20" s="2">
        <v>109</v>
      </c>
      <c r="B20" s="2" t="s">
        <v>14</v>
      </c>
      <c r="C20" s="1">
        <f t="shared" ca="1" si="0"/>
        <v>44404</v>
      </c>
      <c r="D20" s="1">
        <f t="shared" ca="1" si="1"/>
        <v>44419</v>
      </c>
      <c r="E20" s="6" t="str">
        <f t="shared" ca="1" si="2"/>
        <v>Caduco</v>
      </c>
    </row>
    <row r="21" spans="1:7" x14ac:dyDescent="0.25">
      <c r="A21" s="2">
        <v>110</v>
      </c>
      <c r="B21" s="2" t="s">
        <v>37</v>
      </c>
      <c r="C21" s="1">
        <f t="shared" ca="1" si="0"/>
        <v>44411</v>
      </c>
      <c r="D21" s="1">
        <f t="shared" ca="1" si="1"/>
        <v>44435</v>
      </c>
      <c r="E21" s="6" t="str">
        <f t="shared" ca="1" si="2"/>
        <v>Consumible</v>
      </c>
    </row>
    <row r="23" spans="1:7" x14ac:dyDescent="0.25">
      <c r="A23" t="s">
        <v>38</v>
      </c>
    </row>
    <row r="24" spans="1:7" x14ac:dyDescent="0.25">
      <c r="A24" t="s">
        <v>39</v>
      </c>
      <c r="G24">
        <v>1</v>
      </c>
    </row>
    <row r="26" spans="1:7" ht="30" x14ac:dyDescent="0.25">
      <c r="A26" s="4" t="s">
        <v>15</v>
      </c>
      <c r="B26" s="4" t="s">
        <v>16</v>
      </c>
      <c r="C26" s="4" t="s">
        <v>17</v>
      </c>
      <c r="D26" s="4" t="s">
        <v>16</v>
      </c>
      <c r="E26" s="25" t="s">
        <v>18</v>
      </c>
      <c r="F26" s="25" t="s">
        <v>19</v>
      </c>
    </row>
    <row r="27" spans="1:7" x14ac:dyDescent="0.25">
      <c r="A27" s="6" t="s">
        <v>20</v>
      </c>
      <c r="B27" s="6">
        <v>5</v>
      </c>
      <c r="C27" s="6" t="s">
        <v>26</v>
      </c>
      <c r="D27" s="6">
        <v>2</v>
      </c>
      <c r="E27" s="6" t="str">
        <f>IF(B27&gt;D27,"Ganó",IF(B27=D27,"Empató",IF(B27&lt;D27,"Perdió","")))</f>
        <v>Ganó</v>
      </c>
      <c r="F27" s="6" t="str">
        <f>IF(D27&gt;B27,"Ganó",IF(D27=B27,"Empató",IF(D27&lt;B27,"Perdió","")))</f>
        <v>Perdió</v>
      </c>
    </row>
    <row r="28" spans="1:7" x14ac:dyDescent="0.25">
      <c r="A28" s="6" t="s">
        <v>21</v>
      </c>
      <c r="B28" s="6">
        <v>1</v>
      </c>
      <c r="C28" s="6" t="s">
        <v>27</v>
      </c>
      <c r="D28" s="6">
        <v>5</v>
      </c>
      <c r="E28" s="6" t="str">
        <f t="shared" ref="E28:E32" si="3">IF(B28&gt;D28,"Ganó",IF(B28=D28,"Empató",IF(B28&lt;D28,"Perdió","")))</f>
        <v>Perdió</v>
      </c>
      <c r="F28" s="6" t="str">
        <f t="shared" ref="F28:F32" si="4">IF(D28&gt;B28,"Ganó",IF(D28=B28,"Empató",IF(D28&lt;B28,"Perdió","")))</f>
        <v>Ganó</v>
      </c>
    </row>
    <row r="29" spans="1:7" x14ac:dyDescent="0.25">
      <c r="A29" s="6" t="s">
        <v>22</v>
      </c>
      <c r="B29" s="6">
        <v>2</v>
      </c>
      <c r="C29" s="6" t="s">
        <v>28</v>
      </c>
      <c r="D29" s="6">
        <v>2</v>
      </c>
      <c r="E29" s="6" t="str">
        <f t="shared" si="3"/>
        <v>Empató</v>
      </c>
      <c r="F29" s="6" t="str">
        <f t="shared" si="4"/>
        <v>Empató</v>
      </c>
    </row>
    <row r="30" spans="1:7" x14ac:dyDescent="0.25">
      <c r="A30" s="6" t="s">
        <v>23</v>
      </c>
      <c r="B30" s="6">
        <v>3</v>
      </c>
      <c r="C30" s="6" t="s">
        <v>29</v>
      </c>
      <c r="D30" s="6">
        <v>4</v>
      </c>
      <c r="E30" s="6" t="str">
        <f t="shared" si="3"/>
        <v>Perdió</v>
      </c>
      <c r="F30" s="6" t="str">
        <f t="shared" si="4"/>
        <v>Ganó</v>
      </c>
    </row>
    <row r="31" spans="1:7" x14ac:dyDescent="0.25">
      <c r="A31" s="6" t="s">
        <v>24</v>
      </c>
      <c r="B31" s="6">
        <v>4</v>
      </c>
      <c r="C31" s="6" t="s">
        <v>30</v>
      </c>
      <c r="D31" s="6">
        <v>3</v>
      </c>
      <c r="E31" s="6" t="str">
        <f t="shared" si="3"/>
        <v>Ganó</v>
      </c>
      <c r="F31" s="6" t="str">
        <f t="shared" si="4"/>
        <v>Perdió</v>
      </c>
    </row>
    <row r="32" spans="1:7" x14ac:dyDescent="0.25">
      <c r="A32" s="6" t="s">
        <v>25</v>
      </c>
      <c r="B32" s="6">
        <v>2</v>
      </c>
      <c r="C32" s="6" t="s">
        <v>31</v>
      </c>
      <c r="D32" s="6">
        <v>1</v>
      </c>
      <c r="E32" s="6" t="str">
        <f t="shared" si="3"/>
        <v>Ganó</v>
      </c>
      <c r="F32" s="6" t="str">
        <f t="shared" si="4"/>
        <v>Perdió</v>
      </c>
    </row>
    <row r="34" spans="1:9" x14ac:dyDescent="0.25">
      <c r="A34" t="s">
        <v>40</v>
      </c>
    </row>
    <row r="35" spans="1:9" x14ac:dyDescent="0.25">
      <c r="A35" t="s">
        <v>41</v>
      </c>
    </row>
    <row r="37" spans="1:9" x14ac:dyDescent="0.25">
      <c r="A37" s="10" t="s">
        <v>42</v>
      </c>
      <c r="B37" s="11" t="s">
        <v>43</v>
      </c>
      <c r="C37" s="11" t="s">
        <v>44</v>
      </c>
      <c r="D37" s="11" t="s">
        <v>45</v>
      </c>
      <c r="E37" s="12" t="s">
        <v>46</v>
      </c>
      <c r="F37" s="11" t="s">
        <v>189</v>
      </c>
      <c r="G37" s="11" t="s">
        <v>47</v>
      </c>
      <c r="H37" s="11" t="s">
        <v>48</v>
      </c>
      <c r="I37" s="13" t="s">
        <v>49</v>
      </c>
    </row>
    <row r="38" spans="1:9" x14ac:dyDescent="0.25">
      <c r="A38" s="8" t="s">
        <v>50</v>
      </c>
      <c r="B38" s="2" t="s">
        <v>51</v>
      </c>
      <c r="C38" s="2">
        <v>2006</v>
      </c>
      <c r="D38" s="2" t="s">
        <v>52</v>
      </c>
      <c r="E38" s="6" t="s">
        <v>53</v>
      </c>
      <c r="F38" s="3">
        <f ca="1">RANDBETWEEN(50000,6000000)</f>
        <v>5768631</v>
      </c>
      <c r="G38" s="3">
        <f t="shared" ref="G38:H53" ca="1" si="5">RANDBETWEEN(50000,6000000)</f>
        <v>4237253</v>
      </c>
      <c r="H38" s="3">
        <f t="shared" ca="1" si="5"/>
        <v>2034312</v>
      </c>
      <c r="I38" s="9">
        <f ca="1">SUM(F38:H38)</f>
        <v>12040196</v>
      </c>
    </row>
    <row r="39" spans="1:9" x14ac:dyDescent="0.25">
      <c r="A39" s="8" t="s">
        <v>54</v>
      </c>
      <c r="B39" s="2" t="s">
        <v>55</v>
      </c>
      <c r="C39" s="2">
        <v>1985</v>
      </c>
      <c r="D39" s="2" t="s">
        <v>56</v>
      </c>
      <c r="E39" s="6" t="s">
        <v>53</v>
      </c>
      <c r="F39" s="3">
        <f t="shared" ref="F39:H70" ca="1" si="6">RANDBETWEEN(50000,6000000)</f>
        <v>3784226</v>
      </c>
      <c r="G39" s="3">
        <f t="shared" ca="1" si="5"/>
        <v>5813961</v>
      </c>
      <c r="H39" s="3">
        <f t="shared" ca="1" si="5"/>
        <v>721334</v>
      </c>
      <c r="I39" s="9">
        <f t="shared" ref="I39:I102" ca="1" si="7">SUM(F39:H39)</f>
        <v>10319521</v>
      </c>
    </row>
    <row r="40" spans="1:9" x14ac:dyDescent="0.25">
      <c r="A40" s="8" t="s">
        <v>57</v>
      </c>
      <c r="B40" s="2" t="s">
        <v>51</v>
      </c>
      <c r="C40" s="2">
        <v>2008</v>
      </c>
      <c r="D40" s="2" t="s">
        <v>58</v>
      </c>
      <c r="E40" s="6" t="s">
        <v>53</v>
      </c>
      <c r="F40" s="3">
        <f t="shared" ca="1" si="6"/>
        <v>2495716</v>
      </c>
      <c r="G40" s="3">
        <f t="shared" ca="1" si="5"/>
        <v>2677499</v>
      </c>
      <c r="H40" s="3">
        <f t="shared" ca="1" si="5"/>
        <v>2422941</v>
      </c>
      <c r="I40" s="9">
        <f t="shared" ca="1" si="7"/>
        <v>7596156</v>
      </c>
    </row>
    <row r="41" spans="1:9" x14ac:dyDescent="0.25">
      <c r="A41" s="8" t="s">
        <v>59</v>
      </c>
      <c r="B41" s="2" t="s">
        <v>51</v>
      </c>
      <c r="C41" s="2">
        <v>2009</v>
      </c>
      <c r="D41" s="2" t="s">
        <v>52</v>
      </c>
      <c r="E41" s="6" t="s">
        <v>53</v>
      </c>
      <c r="F41" s="3">
        <f t="shared" ca="1" si="6"/>
        <v>811534</v>
      </c>
      <c r="G41" s="3">
        <f t="shared" ca="1" si="5"/>
        <v>93717</v>
      </c>
      <c r="H41" s="3">
        <f t="shared" ca="1" si="5"/>
        <v>1190881</v>
      </c>
      <c r="I41" s="9">
        <f t="shared" ca="1" si="7"/>
        <v>2096132</v>
      </c>
    </row>
    <row r="42" spans="1:9" x14ac:dyDescent="0.25">
      <c r="A42" s="8" t="s">
        <v>60</v>
      </c>
      <c r="B42" s="2" t="s">
        <v>61</v>
      </c>
      <c r="C42" s="2">
        <v>1996</v>
      </c>
      <c r="D42" s="2" t="s">
        <v>62</v>
      </c>
      <c r="E42" s="6" t="s">
        <v>53</v>
      </c>
      <c r="F42" s="3">
        <f t="shared" ca="1" si="6"/>
        <v>3150606</v>
      </c>
      <c r="G42" s="3">
        <f t="shared" ca="1" si="5"/>
        <v>5036008</v>
      </c>
      <c r="H42" s="3">
        <f t="shared" ca="1" si="5"/>
        <v>1369329</v>
      </c>
      <c r="I42" s="9">
        <f t="shared" ca="1" si="7"/>
        <v>9555943</v>
      </c>
    </row>
    <row r="43" spans="1:9" x14ac:dyDescent="0.25">
      <c r="A43" s="8" t="s">
        <v>63</v>
      </c>
      <c r="B43" s="2" t="s">
        <v>61</v>
      </c>
      <c r="C43" s="2">
        <v>1989</v>
      </c>
      <c r="D43" s="2" t="s">
        <v>64</v>
      </c>
      <c r="E43" s="6" t="s">
        <v>53</v>
      </c>
      <c r="F43" s="3">
        <f t="shared" ca="1" si="6"/>
        <v>3987675</v>
      </c>
      <c r="G43" s="3">
        <f t="shared" ca="1" si="5"/>
        <v>1802371</v>
      </c>
      <c r="H43" s="3">
        <f t="shared" ca="1" si="5"/>
        <v>5362042</v>
      </c>
      <c r="I43" s="9">
        <f t="shared" ca="1" si="7"/>
        <v>11152088</v>
      </c>
    </row>
    <row r="44" spans="1:9" x14ac:dyDescent="0.25">
      <c r="A44" s="8" t="s">
        <v>65</v>
      </c>
      <c r="B44" s="2" t="s">
        <v>66</v>
      </c>
      <c r="C44" s="2">
        <v>2006</v>
      </c>
      <c r="D44" s="2" t="s">
        <v>56</v>
      </c>
      <c r="E44" s="6" t="s">
        <v>53</v>
      </c>
      <c r="F44" s="3">
        <f t="shared" ca="1" si="6"/>
        <v>5880346</v>
      </c>
      <c r="G44" s="3">
        <f t="shared" ca="1" si="5"/>
        <v>723701</v>
      </c>
      <c r="H44" s="3">
        <f t="shared" ca="1" si="5"/>
        <v>2454964</v>
      </c>
      <c r="I44" s="9">
        <f t="shared" ca="1" si="7"/>
        <v>9059011</v>
      </c>
    </row>
    <row r="45" spans="1:9" x14ac:dyDescent="0.25">
      <c r="A45" s="8" t="s">
        <v>67</v>
      </c>
      <c r="B45" s="2" t="s">
        <v>51</v>
      </c>
      <c r="C45" s="2">
        <v>2006</v>
      </c>
      <c r="D45" s="2" t="s">
        <v>68</v>
      </c>
      <c r="E45" s="6" t="s">
        <v>53</v>
      </c>
      <c r="F45" s="3">
        <f t="shared" ca="1" si="6"/>
        <v>825344</v>
      </c>
      <c r="G45" s="3">
        <f t="shared" ca="1" si="5"/>
        <v>3183906</v>
      </c>
      <c r="H45" s="3">
        <f t="shared" ca="1" si="5"/>
        <v>4394306</v>
      </c>
      <c r="I45" s="9">
        <f t="shared" ca="1" si="7"/>
        <v>8403556</v>
      </c>
    </row>
    <row r="46" spans="1:9" x14ac:dyDescent="0.25">
      <c r="A46" s="8" t="s">
        <v>69</v>
      </c>
      <c r="B46" s="2" t="s">
        <v>51</v>
      </c>
      <c r="C46" s="2">
        <v>2009</v>
      </c>
      <c r="D46" s="2" t="s">
        <v>56</v>
      </c>
      <c r="E46" s="6" t="s">
        <v>53</v>
      </c>
      <c r="F46" s="3">
        <f t="shared" ca="1" si="6"/>
        <v>5454870</v>
      </c>
      <c r="G46" s="3">
        <f t="shared" ca="1" si="5"/>
        <v>367016</v>
      </c>
      <c r="H46" s="3">
        <f t="shared" ca="1" si="5"/>
        <v>4592501</v>
      </c>
      <c r="I46" s="9">
        <f t="shared" ca="1" si="7"/>
        <v>10414387</v>
      </c>
    </row>
    <row r="47" spans="1:9" x14ac:dyDescent="0.25">
      <c r="A47" s="8" t="s">
        <v>70</v>
      </c>
      <c r="B47" s="2" t="s">
        <v>55</v>
      </c>
      <c r="C47" s="2">
        <v>1984</v>
      </c>
      <c r="D47" s="2" t="s">
        <v>71</v>
      </c>
      <c r="E47" s="6" t="s">
        <v>53</v>
      </c>
      <c r="F47" s="3">
        <f t="shared" ca="1" si="6"/>
        <v>1630581</v>
      </c>
      <c r="G47" s="3">
        <f t="shared" ca="1" si="5"/>
        <v>5852358</v>
      </c>
      <c r="H47" s="3">
        <f t="shared" ca="1" si="5"/>
        <v>2827374</v>
      </c>
      <c r="I47" s="9">
        <f t="shared" ca="1" si="7"/>
        <v>10310313</v>
      </c>
    </row>
    <row r="48" spans="1:9" x14ac:dyDescent="0.25">
      <c r="A48" s="8" t="s">
        <v>72</v>
      </c>
      <c r="B48" s="2" t="s">
        <v>66</v>
      </c>
      <c r="C48" s="2">
        <v>2005</v>
      </c>
      <c r="D48" s="2" t="s">
        <v>73</v>
      </c>
      <c r="E48" s="6" t="s">
        <v>53</v>
      </c>
      <c r="F48" s="3">
        <f t="shared" ca="1" si="6"/>
        <v>576647</v>
      </c>
      <c r="G48" s="3">
        <f t="shared" ca="1" si="5"/>
        <v>5836416</v>
      </c>
      <c r="H48" s="3">
        <f t="shared" ca="1" si="5"/>
        <v>5621571</v>
      </c>
      <c r="I48" s="9">
        <f t="shared" ca="1" si="7"/>
        <v>12034634</v>
      </c>
    </row>
    <row r="49" spans="1:9" x14ac:dyDescent="0.25">
      <c r="A49" s="8" t="s">
        <v>74</v>
      </c>
      <c r="B49" s="2" t="s">
        <v>66</v>
      </c>
      <c r="C49" s="2">
        <v>2005</v>
      </c>
      <c r="D49" s="2" t="s">
        <v>58</v>
      </c>
      <c r="E49" s="6" t="s">
        <v>53</v>
      </c>
      <c r="F49" s="3">
        <f t="shared" ca="1" si="6"/>
        <v>3262104</v>
      </c>
      <c r="G49" s="3">
        <f t="shared" ca="1" si="5"/>
        <v>5673778</v>
      </c>
      <c r="H49" s="3">
        <f t="shared" ca="1" si="5"/>
        <v>3217817</v>
      </c>
      <c r="I49" s="9">
        <f t="shared" ca="1" si="7"/>
        <v>12153699</v>
      </c>
    </row>
    <row r="50" spans="1:9" x14ac:dyDescent="0.25">
      <c r="A50" s="8" t="s">
        <v>75</v>
      </c>
      <c r="B50" s="2" t="s">
        <v>61</v>
      </c>
      <c r="C50" s="2">
        <v>1999</v>
      </c>
      <c r="D50" s="2" t="s">
        <v>62</v>
      </c>
      <c r="E50" s="6" t="s">
        <v>53</v>
      </c>
      <c r="F50" s="3">
        <f t="shared" ca="1" si="6"/>
        <v>4857239</v>
      </c>
      <c r="G50" s="3">
        <f t="shared" ca="1" si="5"/>
        <v>4693388</v>
      </c>
      <c r="H50" s="3">
        <f t="shared" ca="1" si="5"/>
        <v>1224770</v>
      </c>
      <c r="I50" s="9">
        <f t="shared" ca="1" si="7"/>
        <v>10775397</v>
      </c>
    </row>
    <row r="51" spans="1:9" x14ac:dyDescent="0.25">
      <c r="A51" s="8" t="s">
        <v>76</v>
      </c>
      <c r="B51" s="2" t="s">
        <v>51</v>
      </c>
      <c r="C51" s="2">
        <v>2007</v>
      </c>
      <c r="D51" s="2" t="s">
        <v>52</v>
      </c>
      <c r="E51" s="6" t="s">
        <v>53</v>
      </c>
      <c r="F51" s="3">
        <f t="shared" ca="1" si="6"/>
        <v>4228517</v>
      </c>
      <c r="G51" s="3">
        <f t="shared" ca="1" si="5"/>
        <v>404940</v>
      </c>
      <c r="H51" s="3">
        <f t="shared" ca="1" si="5"/>
        <v>2642599</v>
      </c>
      <c r="I51" s="9">
        <f t="shared" ca="1" si="7"/>
        <v>7276056</v>
      </c>
    </row>
    <row r="52" spans="1:9" x14ac:dyDescent="0.25">
      <c r="A52" s="8" t="s">
        <v>77</v>
      </c>
      <c r="B52" s="2" t="s">
        <v>51</v>
      </c>
      <c r="C52" s="2">
        <v>2009</v>
      </c>
      <c r="D52" s="2" t="s">
        <v>52</v>
      </c>
      <c r="E52" s="6" t="s">
        <v>53</v>
      </c>
      <c r="F52" s="3">
        <f t="shared" ca="1" si="6"/>
        <v>4708922</v>
      </c>
      <c r="G52" s="3">
        <f t="shared" ca="1" si="5"/>
        <v>5983077</v>
      </c>
      <c r="H52" s="3">
        <f t="shared" ca="1" si="5"/>
        <v>2568347</v>
      </c>
      <c r="I52" s="9">
        <f t="shared" ca="1" si="7"/>
        <v>13260346</v>
      </c>
    </row>
    <row r="53" spans="1:9" x14ac:dyDescent="0.25">
      <c r="A53" s="8" t="s">
        <v>78</v>
      </c>
      <c r="B53" s="2" t="s">
        <v>79</v>
      </c>
      <c r="C53" s="2">
        <v>2010</v>
      </c>
      <c r="D53" s="2" t="s">
        <v>68</v>
      </c>
      <c r="E53" s="6" t="s">
        <v>80</v>
      </c>
      <c r="F53" s="3">
        <f t="shared" ca="1" si="6"/>
        <v>5606649</v>
      </c>
      <c r="G53" s="3">
        <f t="shared" ca="1" si="5"/>
        <v>5602428</v>
      </c>
      <c r="H53" s="3">
        <f t="shared" ca="1" si="5"/>
        <v>5739907</v>
      </c>
      <c r="I53" s="9">
        <f t="shared" ca="1" si="7"/>
        <v>16948984</v>
      </c>
    </row>
    <row r="54" spans="1:9" x14ac:dyDescent="0.25">
      <c r="A54" s="8" t="s">
        <v>81</v>
      </c>
      <c r="B54" s="2" t="s">
        <v>82</v>
      </c>
      <c r="C54" s="2">
        <v>2013</v>
      </c>
      <c r="D54" s="2" t="s">
        <v>83</v>
      </c>
      <c r="E54" s="6" t="s">
        <v>84</v>
      </c>
      <c r="F54" s="3">
        <f t="shared" ca="1" si="6"/>
        <v>3604207</v>
      </c>
      <c r="G54" s="3">
        <f t="shared" ca="1" si="6"/>
        <v>2319784</v>
      </c>
      <c r="H54" s="3">
        <f t="shared" ca="1" si="6"/>
        <v>2874399</v>
      </c>
      <c r="I54" s="9">
        <f t="shared" ca="1" si="7"/>
        <v>8798390</v>
      </c>
    </row>
    <row r="55" spans="1:9" x14ac:dyDescent="0.25">
      <c r="A55" s="8" t="s">
        <v>85</v>
      </c>
      <c r="B55" s="2" t="s">
        <v>86</v>
      </c>
      <c r="C55" s="2">
        <v>2004</v>
      </c>
      <c r="D55" s="2" t="s">
        <v>83</v>
      </c>
      <c r="E55" s="6" t="s">
        <v>84</v>
      </c>
      <c r="F55" s="3">
        <f t="shared" ca="1" si="6"/>
        <v>2546949</v>
      </c>
      <c r="G55" s="3">
        <f t="shared" ca="1" si="6"/>
        <v>3485279</v>
      </c>
      <c r="H55" s="3">
        <f t="shared" ca="1" si="6"/>
        <v>3051077</v>
      </c>
      <c r="I55" s="9">
        <f t="shared" ca="1" si="7"/>
        <v>9083305</v>
      </c>
    </row>
    <row r="56" spans="1:9" x14ac:dyDescent="0.25">
      <c r="A56" s="8" t="s">
        <v>87</v>
      </c>
      <c r="B56" s="2" t="s">
        <v>88</v>
      </c>
      <c r="C56" s="2">
        <v>1990</v>
      </c>
      <c r="D56" s="2" t="s">
        <v>56</v>
      </c>
      <c r="E56" s="6" t="s">
        <v>53</v>
      </c>
      <c r="F56" s="3">
        <f t="shared" ca="1" si="6"/>
        <v>740835</v>
      </c>
      <c r="G56" s="3">
        <f t="shared" ca="1" si="6"/>
        <v>4207311</v>
      </c>
      <c r="H56" s="3">
        <f t="shared" ca="1" si="6"/>
        <v>1473556</v>
      </c>
      <c r="I56" s="9">
        <f t="shared" ca="1" si="7"/>
        <v>6421702</v>
      </c>
    </row>
    <row r="57" spans="1:9" x14ac:dyDescent="0.25">
      <c r="A57" s="8" t="s">
        <v>89</v>
      </c>
      <c r="B57" s="2" t="s">
        <v>66</v>
      </c>
      <c r="C57" s="2">
        <v>2005</v>
      </c>
      <c r="D57" s="2" t="s">
        <v>68</v>
      </c>
      <c r="E57" s="6" t="s">
        <v>53</v>
      </c>
      <c r="F57" s="3">
        <f t="shared" ca="1" si="6"/>
        <v>215771</v>
      </c>
      <c r="G57" s="3">
        <f t="shared" ca="1" si="6"/>
        <v>171530</v>
      </c>
      <c r="H57" s="3">
        <f t="shared" ca="1" si="6"/>
        <v>5805894</v>
      </c>
      <c r="I57" s="9">
        <f t="shared" ca="1" si="7"/>
        <v>6193195</v>
      </c>
    </row>
    <row r="58" spans="1:9" x14ac:dyDescent="0.25">
      <c r="A58" s="8" t="s">
        <v>90</v>
      </c>
      <c r="B58" s="2" t="s">
        <v>66</v>
      </c>
      <c r="C58" s="2">
        <v>2006</v>
      </c>
      <c r="D58" s="2" t="s">
        <v>62</v>
      </c>
      <c r="E58" s="6" t="s">
        <v>53</v>
      </c>
      <c r="F58" s="3">
        <f t="shared" ca="1" si="6"/>
        <v>4694440</v>
      </c>
      <c r="G58" s="3">
        <f t="shared" ca="1" si="6"/>
        <v>2574908</v>
      </c>
      <c r="H58" s="3">
        <f t="shared" ca="1" si="6"/>
        <v>2139181</v>
      </c>
      <c r="I58" s="9">
        <f t="shared" ca="1" si="7"/>
        <v>9408529</v>
      </c>
    </row>
    <row r="59" spans="1:9" x14ac:dyDescent="0.25">
      <c r="A59" s="8" t="s">
        <v>91</v>
      </c>
      <c r="B59" s="2" t="s">
        <v>61</v>
      </c>
      <c r="C59" s="2">
        <v>1989</v>
      </c>
      <c r="D59" s="2" t="s">
        <v>56</v>
      </c>
      <c r="E59" s="6" t="s">
        <v>53</v>
      </c>
      <c r="F59" s="3">
        <f t="shared" ca="1" si="6"/>
        <v>1522397</v>
      </c>
      <c r="G59" s="3">
        <f t="shared" ca="1" si="6"/>
        <v>740042</v>
      </c>
      <c r="H59" s="3">
        <f t="shared" ca="1" si="6"/>
        <v>2674393</v>
      </c>
      <c r="I59" s="9">
        <f t="shared" ca="1" si="7"/>
        <v>4936832</v>
      </c>
    </row>
    <row r="60" spans="1:9" x14ac:dyDescent="0.25">
      <c r="A60" s="8" t="s">
        <v>92</v>
      </c>
      <c r="B60" s="2" t="s">
        <v>55</v>
      </c>
      <c r="C60" s="2">
        <v>1988</v>
      </c>
      <c r="D60" s="2" t="s">
        <v>56</v>
      </c>
      <c r="E60" s="6" t="s">
        <v>53</v>
      </c>
      <c r="F60" s="3">
        <f t="shared" ca="1" si="6"/>
        <v>2460000</v>
      </c>
      <c r="G60" s="3">
        <f t="shared" ca="1" si="6"/>
        <v>2356151</v>
      </c>
      <c r="H60" s="3">
        <f t="shared" ca="1" si="6"/>
        <v>180853</v>
      </c>
      <c r="I60" s="9">
        <f t="shared" ca="1" si="7"/>
        <v>4997004</v>
      </c>
    </row>
    <row r="61" spans="1:9" x14ac:dyDescent="0.25">
      <c r="A61" s="8" t="s">
        <v>81</v>
      </c>
      <c r="B61" s="2" t="s">
        <v>79</v>
      </c>
      <c r="C61" s="2">
        <v>2013</v>
      </c>
      <c r="D61" s="2" t="s">
        <v>83</v>
      </c>
      <c r="E61" s="6" t="s">
        <v>84</v>
      </c>
      <c r="F61" s="3">
        <f t="shared" ca="1" si="6"/>
        <v>5066700</v>
      </c>
      <c r="G61" s="3">
        <f t="shared" ca="1" si="6"/>
        <v>3649440</v>
      </c>
      <c r="H61" s="3">
        <f t="shared" ca="1" si="6"/>
        <v>4192735</v>
      </c>
      <c r="I61" s="9">
        <f t="shared" ca="1" si="7"/>
        <v>12908875</v>
      </c>
    </row>
    <row r="62" spans="1:9" x14ac:dyDescent="0.25">
      <c r="A62" s="8" t="s">
        <v>93</v>
      </c>
      <c r="B62" s="2" t="s">
        <v>86</v>
      </c>
      <c r="C62" s="2">
        <v>2002</v>
      </c>
      <c r="D62" s="2" t="s">
        <v>83</v>
      </c>
      <c r="E62" s="6" t="s">
        <v>84</v>
      </c>
      <c r="F62" s="3">
        <f t="shared" ca="1" si="6"/>
        <v>1877368</v>
      </c>
      <c r="G62" s="3">
        <f t="shared" ca="1" si="6"/>
        <v>4198443</v>
      </c>
      <c r="H62" s="3">
        <f t="shared" ca="1" si="6"/>
        <v>101054</v>
      </c>
      <c r="I62" s="9">
        <f t="shared" ca="1" si="7"/>
        <v>6176865</v>
      </c>
    </row>
    <row r="63" spans="1:9" x14ac:dyDescent="0.25">
      <c r="A63" s="8" t="s">
        <v>94</v>
      </c>
      <c r="B63" s="2" t="s">
        <v>95</v>
      </c>
      <c r="C63" s="2">
        <v>2002</v>
      </c>
      <c r="D63" s="2" t="s">
        <v>62</v>
      </c>
      <c r="E63" s="6" t="s">
        <v>53</v>
      </c>
      <c r="F63" s="3">
        <f t="shared" ca="1" si="6"/>
        <v>4059635</v>
      </c>
      <c r="G63" s="3">
        <f t="shared" ca="1" si="6"/>
        <v>4828651</v>
      </c>
      <c r="H63" s="3">
        <f t="shared" ca="1" si="6"/>
        <v>5211270</v>
      </c>
      <c r="I63" s="9">
        <f t="shared" ca="1" si="7"/>
        <v>14099556</v>
      </c>
    </row>
    <row r="64" spans="1:9" x14ac:dyDescent="0.25">
      <c r="A64" s="8" t="s">
        <v>96</v>
      </c>
      <c r="B64" s="2" t="s">
        <v>66</v>
      </c>
      <c r="C64" s="2">
        <v>2010</v>
      </c>
      <c r="D64" s="2" t="s">
        <v>62</v>
      </c>
      <c r="E64" s="6" t="s">
        <v>53</v>
      </c>
      <c r="F64" s="3">
        <f t="shared" ca="1" si="6"/>
        <v>3765710</v>
      </c>
      <c r="G64" s="3">
        <f t="shared" ca="1" si="6"/>
        <v>4286339</v>
      </c>
      <c r="H64" s="3">
        <f t="shared" ca="1" si="6"/>
        <v>925459</v>
      </c>
      <c r="I64" s="9">
        <f t="shared" ca="1" si="7"/>
        <v>8977508</v>
      </c>
    </row>
    <row r="65" spans="1:9" x14ac:dyDescent="0.25">
      <c r="A65" s="8" t="s">
        <v>97</v>
      </c>
      <c r="B65" s="2" t="s">
        <v>66</v>
      </c>
      <c r="C65" s="2">
        <v>2005</v>
      </c>
      <c r="D65" s="2" t="s">
        <v>64</v>
      </c>
      <c r="E65" s="6" t="s">
        <v>53</v>
      </c>
      <c r="F65" s="3">
        <f t="shared" ca="1" si="6"/>
        <v>4370740</v>
      </c>
      <c r="G65" s="3">
        <f t="shared" ca="1" si="6"/>
        <v>5029585</v>
      </c>
      <c r="H65" s="3">
        <f t="shared" ca="1" si="6"/>
        <v>1764911</v>
      </c>
      <c r="I65" s="9">
        <f t="shared" ca="1" si="7"/>
        <v>11165236</v>
      </c>
    </row>
    <row r="66" spans="1:9" x14ac:dyDescent="0.25">
      <c r="A66" s="8" t="s">
        <v>98</v>
      </c>
      <c r="B66" s="2" t="s">
        <v>86</v>
      </c>
      <c r="C66" s="2">
        <v>2001</v>
      </c>
      <c r="D66" s="2" t="s">
        <v>58</v>
      </c>
      <c r="E66" s="6" t="s">
        <v>99</v>
      </c>
      <c r="F66" s="3">
        <f t="shared" ca="1" si="6"/>
        <v>4350066</v>
      </c>
      <c r="G66" s="3">
        <f t="shared" ca="1" si="6"/>
        <v>1157597</v>
      </c>
      <c r="H66" s="3">
        <f t="shared" ca="1" si="6"/>
        <v>5994260</v>
      </c>
      <c r="I66" s="9">
        <f t="shared" ca="1" si="7"/>
        <v>11501923</v>
      </c>
    </row>
    <row r="67" spans="1:9" x14ac:dyDescent="0.25">
      <c r="A67" s="8" t="s">
        <v>100</v>
      </c>
      <c r="B67" s="2" t="s">
        <v>79</v>
      </c>
      <c r="C67" s="2">
        <v>2011</v>
      </c>
      <c r="D67" s="2" t="s">
        <v>71</v>
      </c>
      <c r="E67" s="6" t="s">
        <v>101</v>
      </c>
      <c r="F67" s="3">
        <f t="shared" ca="1" si="6"/>
        <v>1617122</v>
      </c>
      <c r="G67" s="3">
        <f t="shared" ca="1" si="6"/>
        <v>1606946</v>
      </c>
      <c r="H67" s="3">
        <f t="shared" ca="1" si="6"/>
        <v>344395</v>
      </c>
      <c r="I67" s="9">
        <f t="shared" ca="1" si="7"/>
        <v>3568463</v>
      </c>
    </row>
    <row r="68" spans="1:9" x14ac:dyDescent="0.25">
      <c r="A68" s="8" t="s">
        <v>102</v>
      </c>
      <c r="B68" s="2" t="s">
        <v>61</v>
      </c>
      <c r="C68" s="2">
        <v>1998</v>
      </c>
      <c r="D68" s="2" t="s">
        <v>62</v>
      </c>
      <c r="E68" s="6" t="s">
        <v>53</v>
      </c>
      <c r="F68" s="3">
        <f t="shared" ca="1" si="6"/>
        <v>3432308</v>
      </c>
      <c r="G68" s="3">
        <f t="shared" ca="1" si="6"/>
        <v>5684429</v>
      </c>
      <c r="H68" s="3">
        <f t="shared" ca="1" si="6"/>
        <v>1250250</v>
      </c>
      <c r="I68" s="9">
        <f t="shared" ca="1" si="7"/>
        <v>10366987</v>
      </c>
    </row>
    <row r="69" spans="1:9" x14ac:dyDescent="0.25">
      <c r="A69" s="8" t="s">
        <v>103</v>
      </c>
      <c r="B69" s="2" t="s">
        <v>79</v>
      </c>
      <c r="C69" s="2">
        <v>2010</v>
      </c>
      <c r="D69" s="2" t="s">
        <v>71</v>
      </c>
      <c r="E69" s="6" t="s">
        <v>101</v>
      </c>
      <c r="F69" s="3">
        <f t="shared" ca="1" si="6"/>
        <v>2193143</v>
      </c>
      <c r="G69" s="3">
        <f t="shared" ca="1" si="6"/>
        <v>4639613</v>
      </c>
      <c r="H69" s="3">
        <f t="shared" ca="1" si="6"/>
        <v>2834887</v>
      </c>
      <c r="I69" s="9">
        <f t="shared" ca="1" si="7"/>
        <v>9667643</v>
      </c>
    </row>
    <row r="70" spans="1:9" x14ac:dyDescent="0.25">
      <c r="A70" s="8" t="s">
        <v>104</v>
      </c>
      <c r="B70" s="2" t="s">
        <v>105</v>
      </c>
      <c r="C70" s="2">
        <v>2013</v>
      </c>
      <c r="D70" s="2" t="s">
        <v>62</v>
      </c>
      <c r="E70" s="6" t="s">
        <v>53</v>
      </c>
      <c r="F70" s="3">
        <f t="shared" ca="1" si="6"/>
        <v>3226259</v>
      </c>
      <c r="G70" s="3">
        <f t="shared" ca="1" si="6"/>
        <v>535655</v>
      </c>
      <c r="H70" s="3">
        <f t="shared" ca="1" si="6"/>
        <v>453373</v>
      </c>
      <c r="I70" s="9">
        <f t="shared" ca="1" si="7"/>
        <v>4215287</v>
      </c>
    </row>
    <row r="71" spans="1:9" x14ac:dyDescent="0.25">
      <c r="A71" s="8" t="s">
        <v>106</v>
      </c>
      <c r="B71" s="2" t="s">
        <v>107</v>
      </c>
      <c r="C71" s="2">
        <v>2015</v>
      </c>
      <c r="D71" s="2" t="s">
        <v>71</v>
      </c>
      <c r="E71" s="6" t="s">
        <v>101</v>
      </c>
      <c r="F71" s="3">
        <f t="shared" ref="F71:H102" ca="1" si="8">RANDBETWEEN(50000,6000000)</f>
        <v>4273426</v>
      </c>
      <c r="G71" s="3">
        <f t="shared" ca="1" si="8"/>
        <v>4768746</v>
      </c>
      <c r="H71" s="3">
        <f t="shared" ca="1" si="8"/>
        <v>1297852</v>
      </c>
      <c r="I71" s="9">
        <f t="shared" ca="1" si="7"/>
        <v>10340024</v>
      </c>
    </row>
    <row r="72" spans="1:9" x14ac:dyDescent="0.25">
      <c r="A72" s="8" t="s">
        <v>108</v>
      </c>
      <c r="B72" s="2" t="s">
        <v>82</v>
      </c>
      <c r="C72" s="2">
        <v>2012</v>
      </c>
      <c r="D72" s="2" t="s">
        <v>71</v>
      </c>
      <c r="E72" s="6" t="s">
        <v>101</v>
      </c>
      <c r="F72" s="3">
        <f t="shared" ca="1" si="8"/>
        <v>3485596</v>
      </c>
      <c r="G72" s="3">
        <f t="shared" ca="1" si="8"/>
        <v>2886954</v>
      </c>
      <c r="H72" s="3">
        <f t="shared" ca="1" si="8"/>
        <v>4871612</v>
      </c>
      <c r="I72" s="9">
        <f t="shared" ca="1" si="7"/>
        <v>11244162</v>
      </c>
    </row>
    <row r="73" spans="1:9" x14ac:dyDescent="0.25">
      <c r="A73" s="8" t="s">
        <v>108</v>
      </c>
      <c r="B73" s="2" t="s">
        <v>79</v>
      </c>
      <c r="C73" s="2">
        <v>2012</v>
      </c>
      <c r="D73" s="2" t="s">
        <v>71</v>
      </c>
      <c r="E73" s="6" t="s">
        <v>101</v>
      </c>
      <c r="F73" s="3">
        <f t="shared" ca="1" si="8"/>
        <v>2312121</v>
      </c>
      <c r="G73" s="3">
        <f t="shared" ca="1" si="8"/>
        <v>4840699</v>
      </c>
      <c r="H73" s="3">
        <f t="shared" ca="1" si="8"/>
        <v>4871288</v>
      </c>
      <c r="I73" s="9">
        <f t="shared" ca="1" si="7"/>
        <v>12024108</v>
      </c>
    </row>
    <row r="74" spans="1:9" x14ac:dyDescent="0.25">
      <c r="A74" s="8" t="s">
        <v>109</v>
      </c>
      <c r="B74" s="2" t="s">
        <v>79</v>
      </c>
      <c r="C74" s="2">
        <v>2009</v>
      </c>
      <c r="D74" s="2" t="s">
        <v>71</v>
      </c>
      <c r="E74" s="6" t="s">
        <v>101</v>
      </c>
      <c r="F74" s="3">
        <f t="shared" ca="1" si="8"/>
        <v>3543034</v>
      </c>
      <c r="G74" s="3">
        <f t="shared" ca="1" si="8"/>
        <v>5527074</v>
      </c>
      <c r="H74" s="3">
        <f t="shared" ca="1" si="8"/>
        <v>2486220</v>
      </c>
      <c r="I74" s="9">
        <f t="shared" ca="1" si="7"/>
        <v>11556328</v>
      </c>
    </row>
    <row r="75" spans="1:9" x14ac:dyDescent="0.25">
      <c r="A75" s="8" t="s">
        <v>100</v>
      </c>
      <c r="B75" s="2" t="s">
        <v>82</v>
      </c>
      <c r="C75" s="2">
        <v>2011</v>
      </c>
      <c r="D75" s="2" t="s">
        <v>71</v>
      </c>
      <c r="E75" s="6" t="s">
        <v>101</v>
      </c>
      <c r="F75" s="3">
        <f t="shared" ca="1" si="8"/>
        <v>3511744</v>
      </c>
      <c r="G75" s="3">
        <f t="shared" ca="1" si="8"/>
        <v>3025077</v>
      </c>
      <c r="H75" s="3">
        <f t="shared" ca="1" si="8"/>
        <v>1587963</v>
      </c>
      <c r="I75" s="9">
        <f t="shared" ca="1" si="7"/>
        <v>8124784</v>
      </c>
    </row>
    <row r="76" spans="1:9" x14ac:dyDescent="0.25">
      <c r="A76" s="8" t="s">
        <v>110</v>
      </c>
      <c r="B76" s="2" t="s">
        <v>86</v>
      </c>
      <c r="C76" s="2">
        <v>2001</v>
      </c>
      <c r="D76" s="2" t="s">
        <v>83</v>
      </c>
      <c r="E76" s="6" t="s">
        <v>84</v>
      </c>
      <c r="F76" s="3">
        <f t="shared" ca="1" si="8"/>
        <v>1341415</v>
      </c>
      <c r="G76" s="3">
        <f t="shared" ca="1" si="8"/>
        <v>3260593</v>
      </c>
      <c r="H76" s="3">
        <f t="shared" ca="1" si="8"/>
        <v>1533153</v>
      </c>
      <c r="I76" s="9">
        <f t="shared" ca="1" si="7"/>
        <v>6135161</v>
      </c>
    </row>
    <row r="77" spans="1:9" x14ac:dyDescent="0.25">
      <c r="A77" s="8" t="s">
        <v>111</v>
      </c>
      <c r="B77" s="2" t="s">
        <v>51</v>
      </c>
      <c r="C77" s="2">
        <v>2008</v>
      </c>
      <c r="D77" s="2" t="s">
        <v>112</v>
      </c>
      <c r="E77" s="6" t="s">
        <v>53</v>
      </c>
      <c r="F77" s="3">
        <f t="shared" ca="1" si="8"/>
        <v>1189687</v>
      </c>
      <c r="G77" s="3">
        <f t="shared" ca="1" si="8"/>
        <v>5171270</v>
      </c>
      <c r="H77" s="3">
        <f t="shared" ca="1" si="8"/>
        <v>672688</v>
      </c>
      <c r="I77" s="9">
        <f t="shared" ca="1" si="7"/>
        <v>7033645</v>
      </c>
    </row>
    <row r="78" spans="1:9" x14ac:dyDescent="0.25">
      <c r="A78" s="8" t="s">
        <v>103</v>
      </c>
      <c r="B78" s="2" t="s">
        <v>82</v>
      </c>
      <c r="C78" s="2">
        <v>2010</v>
      </c>
      <c r="D78" s="2" t="s">
        <v>71</v>
      </c>
      <c r="E78" s="6" t="s">
        <v>101</v>
      </c>
      <c r="F78" s="3">
        <f t="shared" ca="1" si="8"/>
        <v>4714750</v>
      </c>
      <c r="G78" s="3">
        <f t="shared" ca="1" si="8"/>
        <v>5833297</v>
      </c>
      <c r="H78" s="3">
        <f t="shared" ca="1" si="8"/>
        <v>1098274</v>
      </c>
      <c r="I78" s="9">
        <f t="shared" ca="1" si="7"/>
        <v>11646321</v>
      </c>
    </row>
    <row r="79" spans="1:9" x14ac:dyDescent="0.25">
      <c r="A79" s="8" t="s">
        <v>113</v>
      </c>
      <c r="B79" s="2" t="s">
        <v>66</v>
      </c>
      <c r="C79" s="2">
        <v>2005</v>
      </c>
      <c r="D79" s="2" t="s">
        <v>73</v>
      </c>
      <c r="E79" s="6" t="s">
        <v>53</v>
      </c>
      <c r="F79" s="3">
        <f t="shared" ca="1" si="8"/>
        <v>4002630</v>
      </c>
      <c r="G79" s="3">
        <f t="shared" ca="1" si="8"/>
        <v>4580728</v>
      </c>
      <c r="H79" s="3">
        <f t="shared" ca="1" si="8"/>
        <v>2515897</v>
      </c>
      <c r="I79" s="9">
        <f t="shared" ca="1" si="7"/>
        <v>11099255</v>
      </c>
    </row>
    <row r="80" spans="1:9" x14ac:dyDescent="0.25">
      <c r="A80" s="8" t="s">
        <v>114</v>
      </c>
      <c r="B80" s="2" t="s">
        <v>105</v>
      </c>
      <c r="C80" s="2">
        <v>2011</v>
      </c>
      <c r="D80" s="2" t="s">
        <v>58</v>
      </c>
      <c r="E80" s="6" t="s">
        <v>53</v>
      </c>
      <c r="F80" s="3">
        <f t="shared" ca="1" si="8"/>
        <v>3262165</v>
      </c>
      <c r="G80" s="3">
        <f t="shared" ca="1" si="8"/>
        <v>2218707</v>
      </c>
      <c r="H80" s="3">
        <f t="shared" ca="1" si="8"/>
        <v>4552793</v>
      </c>
      <c r="I80" s="9">
        <f t="shared" ca="1" si="7"/>
        <v>10033665</v>
      </c>
    </row>
    <row r="81" spans="1:9" x14ac:dyDescent="0.25">
      <c r="A81" s="8" t="s">
        <v>115</v>
      </c>
      <c r="B81" s="2" t="s">
        <v>79</v>
      </c>
      <c r="C81" s="2">
        <v>2007</v>
      </c>
      <c r="D81" s="2" t="s">
        <v>71</v>
      </c>
      <c r="E81" s="6" t="s">
        <v>80</v>
      </c>
      <c r="F81" s="3">
        <f t="shared" ca="1" si="8"/>
        <v>2788665</v>
      </c>
      <c r="G81" s="3">
        <f t="shared" ca="1" si="8"/>
        <v>3126910</v>
      </c>
      <c r="H81" s="3">
        <f t="shared" ca="1" si="8"/>
        <v>5004034</v>
      </c>
      <c r="I81" s="9">
        <f t="shared" ca="1" si="7"/>
        <v>10919609</v>
      </c>
    </row>
    <row r="82" spans="1:9" x14ac:dyDescent="0.25">
      <c r="A82" s="8" t="s">
        <v>81</v>
      </c>
      <c r="B82" s="2" t="s">
        <v>107</v>
      </c>
      <c r="C82" s="2">
        <v>2014</v>
      </c>
      <c r="D82" s="2" t="s">
        <v>83</v>
      </c>
      <c r="E82" s="6" t="s">
        <v>84</v>
      </c>
      <c r="F82" s="3">
        <f t="shared" ca="1" si="8"/>
        <v>4166394</v>
      </c>
      <c r="G82" s="3">
        <f t="shared" ca="1" si="8"/>
        <v>606347</v>
      </c>
      <c r="H82" s="3">
        <f t="shared" ca="1" si="8"/>
        <v>4505222</v>
      </c>
      <c r="I82" s="9">
        <f t="shared" ca="1" si="7"/>
        <v>9277963</v>
      </c>
    </row>
    <row r="83" spans="1:9" x14ac:dyDescent="0.25">
      <c r="A83" s="8" t="s">
        <v>116</v>
      </c>
      <c r="B83" s="2" t="s">
        <v>66</v>
      </c>
      <c r="C83" s="2">
        <v>2009</v>
      </c>
      <c r="D83" s="2" t="s">
        <v>83</v>
      </c>
      <c r="E83" s="6" t="s">
        <v>53</v>
      </c>
      <c r="F83" s="3">
        <f t="shared" ca="1" si="8"/>
        <v>4843797</v>
      </c>
      <c r="G83" s="3">
        <f t="shared" ca="1" si="8"/>
        <v>763420</v>
      </c>
      <c r="H83" s="3">
        <f t="shared" ca="1" si="8"/>
        <v>3583171</v>
      </c>
      <c r="I83" s="9">
        <f t="shared" ca="1" si="7"/>
        <v>9190388</v>
      </c>
    </row>
    <row r="84" spans="1:9" x14ac:dyDescent="0.25">
      <c r="A84" s="8" t="s">
        <v>117</v>
      </c>
      <c r="B84" s="2" t="s">
        <v>118</v>
      </c>
      <c r="C84" s="2">
        <v>1996</v>
      </c>
      <c r="D84" s="2" t="s">
        <v>56</v>
      </c>
      <c r="E84" s="6" t="s">
        <v>53</v>
      </c>
      <c r="F84" s="3">
        <f t="shared" ca="1" si="8"/>
        <v>328450</v>
      </c>
      <c r="G84" s="3">
        <f t="shared" ca="1" si="8"/>
        <v>150035</v>
      </c>
      <c r="H84" s="3">
        <f t="shared" ca="1" si="8"/>
        <v>4669229</v>
      </c>
      <c r="I84" s="9">
        <f t="shared" ca="1" si="7"/>
        <v>5147714</v>
      </c>
    </row>
    <row r="85" spans="1:9" x14ac:dyDescent="0.25">
      <c r="A85" s="8" t="s">
        <v>119</v>
      </c>
      <c r="B85" s="2" t="s">
        <v>86</v>
      </c>
      <c r="C85" s="2">
        <v>2004</v>
      </c>
      <c r="D85" s="2" t="s">
        <v>58</v>
      </c>
      <c r="E85" s="6" t="s">
        <v>99</v>
      </c>
      <c r="F85" s="3">
        <f t="shared" ca="1" si="8"/>
        <v>4079033</v>
      </c>
      <c r="G85" s="3">
        <f t="shared" ca="1" si="8"/>
        <v>4207807</v>
      </c>
      <c r="H85" s="3">
        <f t="shared" ca="1" si="8"/>
        <v>2528484</v>
      </c>
      <c r="I85" s="9">
        <f t="shared" ca="1" si="7"/>
        <v>10815324</v>
      </c>
    </row>
    <row r="86" spans="1:9" x14ac:dyDescent="0.25">
      <c r="A86" s="8" t="s">
        <v>120</v>
      </c>
      <c r="B86" s="2" t="s">
        <v>51</v>
      </c>
      <c r="C86" s="2">
        <v>2007</v>
      </c>
      <c r="D86" s="2" t="s">
        <v>56</v>
      </c>
      <c r="E86" s="6" t="s">
        <v>53</v>
      </c>
      <c r="F86" s="3">
        <f t="shared" ca="1" si="8"/>
        <v>709689</v>
      </c>
      <c r="G86" s="3">
        <f t="shared" ca="1" si="8"/>
        <v>76530</v>
      </c>
      <c r="H86" s="3">
        <f t="shared" ca="1" si="8"/>
        <v>5380553</v>
      </c>
      <c r="I86" s="9">
        <f t="shared" ca="1" si="7"/>
        <v>6166772</v>
      </c>
    </row>
    <row r="87" spans="1:9" x14ac:dyDescent="0.25">
      <c r="A87" s="8" t="s">
        <v>121</v>
      </c>
      <c r="B87" s="2" t="s">
        <v>105</v>
      </c>
      <c r="C87" s="2">
        <v>2014</v>
      </c>
      <c r="D87" s="2" t="s">
        <v>62</v>
      </c>
      <c r="E87" s="6" t="s">
        <v>53</v>
      </c>
      <c r="F87" s="3">
        <f t="shared" ca="1" si="8"/>
        <v>1061256</v>
      </c>
      <c r="G87" s="3">
        <f t="shared" ca="1" si="8"/>
        <v>4892414</v>
      </c>
      <c r="H87" s="3">
        <f t="shared" ca="1" si="8"/>
        <v>1593867</v>
      </c>
      <c r="I87" s="9">
        <f t="shared" ca="1" si="7"/>
        <v>7547537</v>
      </c>
    </row>
    <row r="88" spans="1:9" x14ac:dyDescent="0.25">
      <c r="A88" s="8" t="s">
        <v>122</v>
      </c>
      <c r="B88" s="2" t="s">
        <v>61</v>
      </c>
      <c r="C88" s="2">
        <v>1992</v>
      </c>
      <c r="D88" s="2" t="s">
        <v>123</v>
      </c>
      <c r="E88" s="6" t="s">
        <v>53</v>
      </c>
      <c r="F88" s="3">
        <f t="shared" ca="1" si="8"/>
        <v>2996215</v>
      </c>
      <c r="G88" s="3">
        <f t="shared" ca="1" si="8"/>
        <v>1841904</v>
      </c>
      <c r="H88" s="3">
        <f t="shared" ca="1" si="8"/>
        <v>4884051</v>
      </c>
      <c r="I88" s="9">
        <f t="shared" ca="1" si="7"/>
        <v>9722170</v>
      </c>
    </row>
    <row r="89" spans="1:9" x14ac:dyDescent="0.25">
      <c r="A89" s="8" t="s">
        <v>124</v>
      </c>
      <c r="B89" s="2" t="s">
        <v>79</v>
      </c>
      <c r="C89" s="2">
        <v>2008</v>
      </c>
      <c r="D89" s="2" t="s">
        <v>83</v>
      </c>
      <c r="E89" s="6" t="s">
        <v>84</v>
      </c>
      <c r="F89" s="3">
        <f t="shared" ca="1" si="8"/>
        <v>4936641</v>
      </c>
      <c r="G89" s="3">
        <f t="shared" ca="1" si="8"/>
        <v>1713695</v>
      </c>
      <c r="H89" s="3">
        <f t="shared" ca="1" si="8"/>
        <v>778214</v>
      </c>
      <c r="I89" s="9">
        <f t="shared" ca="1" si="7"/>
        <v>7428550</v>
      </c>
    </row>
    <row r="90" spans="1:9" x14ac:dyDescent="0.25">
      <c r="A90" s="8" t="s">
        <v>125</v>
      </c>
      <c r="B90" s="2" t="s">
        <v>126</v>
      </c>
      <c r="C90" s="2">
        <v>1997</v>
      </c>
      <c r="D90" s="2" t="s">
        <v>58</v>
      </c>
      <c r="E90" s="6" t="s">
        <v>99</v>
      </c>
      <c r="F90" s="3">
        <f t="shared" ca="1" si="8"/>
        <v>4887768</v>
      </c>
      <c r="G90" s="3">
        <f t="shared" ca="1" si="8"/>
        <v>2464607</v>
      </c>
      <c r="H90" s="3">
        <f t="shared" ca="1" si="8"/>
        <v>2795834</v>
      </c>
      <c r="I90" s="9">
        <f t="shared" ca="1" si="7"/>
        <v>10148209</v>
      </c>
    </row>
    <row r="91" spans="1:9" x14ac:dyDescent="0.25">
      <c r="A91" s="8" t="s">
        <v>127</v>
      </c>
      <c r="B91" s="2" t="s">
        <v>105</v>
      </c>
      <c r="C91" s="2">
        <v>2011</v>
      </c>
      <c r="D91" s="2" t="s">
        <v>56</v>
      </c>
      <c r="E91" s="6" t="s">
        <v>53</v>
      </c>
      <c r="F91" s="3">
        <f t="shared" ca="1" si="8"/>
        <v>3640038</v>
      </c>
      <c r="G91" s="3">
        <f t="shared" ca="1" si="8"/>
        <v>4737289</v>
      </c>
      <c r="H91" s="3">
        <f t="shared" ca="1" si="8"/>
        <v>3698784</v>
      </c>
      <c r="I91" s="9">
        <f t="shared" ca="1" si="7"/>
        <v>12076111</v>
      </c>
    </row>
    <row r="92" spans="1:9" x14ac:dyDescent="0.25">
      <c r="A92" s="8" t="s">
        <v>128</v>
      </c>
      <c r="B92" s="2" t="s">
        <v>82</v>
      </c>
      <c r="C92" s="2">
        <v>2010</v>
      </c>
      <c r="D92" s="2" t="s">
        <v>58</v>
      </c>
      <c r="E92" s="6" t="s">
        <v>99</v>
      </c>
      <c r="F92" s="3">
        <f t="shared" ca="1" si="8"/>
        <v>4762250</v>
      </c>
      <c r="G92" s="3">
        <f t="shared" ca="1" si="8"/>
        <v>4343012</v>
      </c>
      <c r="H92" s="3">
        <f t="shared" ca="1" si="8"/>
        <v>5720230</v>
      </c>
      <c r="I92" s="9">
        <f t="shared" ca="1" si="7"/>
        <v>14825492</v>
      </c>
    </row>
    <row r="93" spans="1:9" x14ac:dyDescent="0.25">
      <c r="A93" s="8" t="s">
        <v>109</v>
      </c>
      <c r="B93" s="2" t="s">
        <v>82</v>
      </c>
      <c r="C93" s="2">
        <v>2009</v>
      </c>
      <c r="D93" s="2" t="s">
        <v>71</v>
      </c>
      <c r="E93" s="6" t="s">
        <v>101</v>
      </c>
      <c r="F93" s="3">
        <f t="shared" ca="1" si="8"/>
        <v>108914</v>
      </c>
      <c r="G93" s="3">
        <f t="shared" ca="1" si="8"/>
        <v>981091</v>
      </c>
      <c r="H93" s="3">
        <f t="shared" ca="1" si="8"/>
        <v>5096023</v>
      </c>
      <c r="I93" s="9">
        <f t="shared" ca="1" si="7"/>
        <v>6186028</v>
      </c>
    </row>
    <row r="94" spans="1:9" x14ac:dyDescent="0.25">
      <c r="A94" s="8" t="s">
        <v>124</v>
      </c>
      <c r="B94" s="2" t="s">
        <v>82</v>
      </c>
      <c r="C94" s="2">
        <v>2008</v>
      </c>
      <c r="D94" s="2" t="s">
        <v>83</v>
      </c>
      <c r="E94" s="6" t="s">
        <v>84</v>
      </c>
      <c r="F94" s="3">
        <f t="shared" ca="1" si="8"/>
        <v>1014221</v>
      </c>
      <c r="G94" s="3">
        <f t="shared" ca="1" si="8"/>
        <v>1020155</v>
      </c>
      <c r="H94" s="3">
        <f t="shared" ca="1" si="8"/>
        <v>3753607</v>
      </c>
      <c r="I94" s="9">
        <f t="shared" ca="1" si="7"/>
        <v>5787983</v>
      </c>
    </row>
    <row r="95" spans="1:9" x14ac:dyDescent="0.25">
      <c r="A95" s="8" t="s">
        <v>129</v>
      </c>
      <c r="B95" s="2" t="s">
        <v>88</v>
      </c>
      <c r="C95" s="2">
        <v>1993</v>
      </c>
      <c r="D95" s="2" t="s">
        <v>56</v>
      </c>
      <c r="E95" s="6" t="s">
        <v>53</v>
      </c>
      <c r="F95" s="3">
        <f t="shared" ca="1" si="8"/>
        <v>3067448</v>
      </c>
      <c r="G95" s="3">
        <f t="shared" ca="1" si="8"/>
        <v>3394860</v>
      </c>
      <c r="H95" s="3">
        <f t="shared" ca="1" si="8"/>
        <v>589800</v>
      </c>
      <c r="I95" s="9">
        <f t="shared" ca="1" si="7"/>
        <v>7052108</v>
      </c>
    </row>
    <row r="96" spans="1:9" x14ac:dyDescent="0.25">
      <c r="A96" s="8" t="s">
        <v>130</v>
      </c>
      <c r="B96" s="2" t="s">
        <v>95</v>
      </c>
      <c r="C96" s="2">
        <v>2004</v>
      </c>
      <c r="D96" s="2" t="s">
        <v>62</v>
      </c>
      <c r="E96" s="6" t="s">
        <v>53</v>
      </c>
      <c r="F96" s="3">
        <f t="shared" ca="1" si="8"/>
        <v>3572286</v>
      </c>
      <c r="G96" s="3">
        <f t="shared" ca="1" si="8"/>
        <v>4875188</v>
      </c>
      <c r="H96" s="3">
        <f t="shared" ca="1" si="8"/>
        <v>3212863</v>
      </c>
      <c r="I96" s="9">
        <f t="shared" ca="1" si="7"/>
        <v>11660337</v>
      </c>
    </row>
    <row r="97" spans="1:9" x14ac:dyDescent="0.25">
      <c r="A97" s="8" t="s">
        <v>117</v>
      </c>
      <c r="B97" s="2" t="s">
        <v>66</v>
      </c>
      <c r="C97" s="2">
        <v>2004</v>
      </c>
      <c r="D97" s="2" t="s">
        <v>56</v>
      </c>
      <c r="E97" s="6" t="s">
        <v>53</v>
      </c>
      <c r="F97" s="3">
        <f t="shared" ca="1" si="8"/>
        <v>549365</v>
      </c>
      <c r="G97" s="3">
        <f t="shared" ca="1" si="8"/>
        <v>1082305</v>
      </c>
      <c r="H97" s="3">
        <f t="shared" ca="1" si="8"/>
        <v>1839553</v>
      </c>
      <c r="I97" s="9">
        <f t="shared" ca="1" si="7"/>
        <v>3471223</v>
      </c>
    </row>
    <row r="98" spans="1:9" x14ac:dyDescent="0.25">
      <c r="A98" s="8" t="s">
        <v>131</v>
      </c>
      <c r="B98" s="2" t="s">
        <v>51</v>
      </c>
      <c r="C98" s="2">
        <v>2011</v>
      </c>
      <c r="D98" s="2" t="s">
        <v>68</v>
      </c>
      <c r="E98" s="6" t="s">
        <v>132</v>
      </c>
      <c r="F98" s="3">
        <f t="shared" ca="1" si="8"/>
        <v>1066558</v>
      </c>
      <c r="G98" s="3">
        <f t="shared" ca="1" si="8"/>
        <v>4201014</v>
      </c>
      <c r="H98" s="3">
        <f t="shared" ca="1" si="8"/>
        <v>4809985</v>
      </c>
      <c r="I98" s="9">
        <f t="shared" ca="1" si="7"/>
        <v>10077557</v>
      </c>
    </row>
    <row r="99" spans="1:9" x14ac:dyDescent="0.25">
      <c r="A99" s="8" t="s">
        <v>133</v>
      </c>
      <c r="B99" s="2" t="s">
        <v>79</v>
      </c>
      <c r="C99" s="2">
        <v>2013</v>
      </c>
      <c r="D99" s="2" t="s">
        <v>71</v>
      </c>
      <c r="E99" s="6" t="s">
        <v>101</v>
      </c>
      <c r="F99" s="3">
        <f t="shared" ca="1" si="8"/>
        <v>1204954</v>
      </c>
      <c r="G99" s="3">
        <f t="shared" ca="1" si="8"/>
        <v>5882703</v>
      </c>
      <c r="H99" s="3">
        <f t="shared" ca="1" si="8"/>
        <v>1510165</v>
      </c>
      <c r="I99" s="9">
        <f t="shared" ca="1" si="7"/>
        <v>8597822</v>
      </c>
    </row>
    <row r="100" spans="1:9" x14ac:dyDescent="0.25">
      <c r="A100" s="8" t="s">
        <v>134</v>
      </c>
      <c r="B100" s="2" t="s">
        <v>79</v>
      </c>
      <c r="C100" s="2">
        <v>2010</v>
      </c>
      <c r="D100" s="2" t="s">
        <v>71</v>
      </c>
      <c r="E100" s="6" t="s">
        <v>80</v>
      </c>
      <c r="F100" s="3">
        <f t="shared" ca="1" si="8"/>
        <v>395252</v>
      </c>
      <c r="G100" s="3">
        <f t="shared" ca="1" si="8"/>
        <v>217842</v>
      </c>
      <c r="H100" s="3">
        <f t="shared" ca="1" si="8"/>
        <v>701102</v>
      </c>
      <c r="I100" s="9">
        <f t="shared" ca="1" si="7"/>
        <v>1314196</v>
      </c>
    </row>
    <row r="101" spans="1:9" x14ac:dyDescent="0.25">
      <c r="A101" s="8" t="s">
        <v>135</v>
      </c>
      <c r="B101" s="2" t="s">
        <v>118</v>
      </c>
      <c r="C101" s="2">
        <v>1996</v>
      </c>
      <c r="D101" s="2" t="s">
        <v>58</v>
      </c>
      <c r="E101" s="6" t="s">
        <v>53</v>
      </c>
      <c r="F101" s="3">
        <f t="shared" ca="1" si="8"/>
        <v>1380035</v>
      </c>
      <c r="G101" s="3">
        <f t="shared" ca="1" si="8"/>
        <v>5896300</v>
      </c>
      <c r="H101" s="3">
        <f t="shared" ca="1" si="8"/>
        <v>3192973</v>
      </c>
      <c r="I101" s="9">
        <f t="shared" ca="1" si="7"/>
        <v>10469308</v>
      </c>
    </row>
    <row r="102" spans="1:9" x14ac:dyDescent="0.25">
      <c r="A102" s="8" t="s">
        <v>136</v>
      </c>
      <c r="B102" s="2" t="s">
        <v>105</v>
      </c>
      <c r="C102" s="2">
        <v>2012</v>
      </c>
      <c r="D102" s="2" t="s">
        <v>56</v>
      </c>
      <c r="E102" s="6" t="s">
        <v>53</v>
      </c>
      <c r="F102" s="3">
        <f t="shared" ca="1" si="8"/>
        <v>3677804</v>
      </c>
      <c r="G102" s="3">
        <f t="shared" ca="1" si="8"/>
        <v>5981933</v>
      </c>
      <c r="H102" s="3">
        <f t="shared" ca="1" si="8"/>
        <v>415575</v>
      </c>
      <c r="I102" s="9">
        <f t="shared" ca="1" si="7"/>
        <v>10075312</v>
      </c>
    </row>
    <row r="103" spans="1:9" x14ac:dyDescent="0.25">
      <c r="A103" s="8" t="s">
        <v>137</v>
      </c>
      <c r="B103" s="2" t="s">
        <v>79</v>
      </c>
      <c r="C103" s="2">
        <v>2012</v>
      </c>
      <c r="D103" s="2" t="s">
        <v>71</v>
      </c>
      <c r="E103" s="6" t="s">
        <v>80</v>
      </c>
      <c r="F103" s="3">
        <f t="shared" ref="F103:H146" ca="1" si="9">RANDBETWEEN(50000,6000000)</f>
        <v>2633851</v>
      </c>
      <c r="G103" s="3">
        <f t="shared" ca="1" si="9"/>
        <v>976732</v>
      </c>
      <c r="H103" s="3">
        <f t="shared" ca="1" si="9"/>
        <v>1591371</v>
      </c>
      <c r="I103" s="9">
        <f t="shared" ref="I103:I146" ca="1" si="10">SUM(F103:H103)</f>
        <v>5201954</v>
      </c>
    </row>
    <row r="104" spans="1:9" x14ac:dyDescent="0.25">
      <c r="A104" s="8" t="s">
        <v>138</v>
      </c>
      <c r="B104" s="2" t="s">
        <v>126</v>
      </c>
      <c r="C104" s="2">
        <v>1997</v>
      </c>
      <c r="D104" s="2" t="s">
        <v>62</v>
      </c>
      <c r="E104" s="6" t="s">
        <v>99</v>
      </c>
      <c r="F104" s="3">
        <f t="shared" ca="1" si="9"/>
        <v>4633855</v>
      </c>
      <c r="G104" s="3">
        <f t="shared" ca="1" si="9"/>
        <v>2720190</v>
      </c>
      <c r="H104" s="3">
        <f t="shared" ca="1" si="9"/>
        <v>3098697</v>
      </c>
      <c r="I104" s="9">
        <f t="shared" ca="1" si="10"/>
        <v>10452742</v>
      </c>
    </row>
    <row r="105" spans="1:9" x14ac:dyDescent="0.25">
      <c r="A105" s="8" t="s">
        <v>133</v>
      </c>
      <c r="B105" s="2" t="s">
        <v>82</v>
      </c>
      <c r="C105" s="2">
        <v>2013</v>
      </c>
      <c r="D105" s="2" t="s">
        <v>71</v>
      </c>
      <c r="E105" s="6" t="s">
        <v>101</v>
      </c>
      <c r="F105" s="3">
        <f t="shared" ca="1" si="9"/>
        <v>3134168</v>
      </c>
      <c r="G105" s="3">
        <f t="shared" ca="1" si="9"/>
        <v>3488562</v>
      </c>
      <c r="H105" s="3">
        <f t="shared" ca="1" si="9"/>
        <v>5154649</v>
      </c>
      <c r="I105" s="9">
        <f t="shared" ca="1" si="10"/>
        <v>11777379</v>
      </c>
    </row>
    <row r="106" spans="1:9" x14ac:dyDescent="0.25">
      <c r="A106" s="8" t="s">
        <v>139</v>
      </c>
      <c r="B106" s="2" t="s">
        <v>51</v>
      </c>
      <c r="C106" s="2">
        <v>2010</v>
      </c>
      <c r="D106" s="2" t="s">
        <v>68</v>
      </c>
      <c r="E106" s="6" t="s">
        <v>132</v>
      </c>
      <c r="F106" s="3">
        <f t="shared" ca="1" si="9"/>
        <v>2055690</v>
      </c>
      <c r="G106" s="3">
        <f t="shared" ca="1" si="9"/>
        <v>4274362</v>
      </c>
      <c r="H106" s="3">
        <f t="shared" ca="1" si="9"/>
        <v>151939</v>
      </c>
      <c r="I106" s="9">
        <f t="shared" ca="1" si="10"/>
        <v>6481991</v>
      </c>
    </row>
    <row r="107" spans="1:9" x14ac:dyDescent="0.25">
      <c r="A107" s="8" t="s">
        <v>140</v>
      </c>
      <c r="B107" s="2" t="s">
        <v>126</v>
      </c>
      <c r="C107" s="2">
        <v>1999</v>
      </c>
      <c r="D107" s="2" t="s">
        <v>58</v>
      </c>
      <c r="E107" s="6" t="s">
        <v>99</v>
      </c>
      <c r="F107" s="3">
        <f t="shared" ca="1" si="9"/>
        <v>2815607</v>
      </c>
      <c r="G107" s="3">
        <f t="shared" ca="1" si="9"/>
        <v>5202579</v>
      </c>
      <c r="H107" s="3">
        <f t="shared" ca="1" si="9"/>
        <v>716957</v>
      </c>
      <c r="I107" s="9">
        <f t="shared" ca="1" si="10"/>
        <v>8735143</v>
      </c>
    </row>
    <row r="108" spans="1:9" x14ac:dyDescent="0.25">
      <c r="A108" s="8" t="s">
        <v>141</v>
      </c>
      <c r="B108" s="2" t="s">
        <v>79</v>
      </c>
      <c r="C108" s="2">
        <v>2007</v>
      </c>
      <c r="D108" s="2" t="s">
        <v>71</v>
      </c>
      <c r="E108" s="6" t="s">
        <v>101</v>
      </c>
      <c r="F108" s="3">
        <f t="shared" ca="1" si="9"/>
        <v>4384601</v>
      </c>
      <c r="G108" s="3">
        <f t="shared" ca="1" si="9"/>
        <v>383293</v>
      </c>
      <c r="H108" s="3">
        <f t="shared" ca="1" si="9"/>
        <v>2020817</v>
      </c>
      <c r="I108" s="9">
        <f t="shared" ca="1" si="10"/>
        <v>6788711</v>
      </c>
    </row>
    <row r="109" spans="1:9" x14ac:dyDescent="0.25">
      <c r="A109" s="8" t="s">
        <v>142</v>
      </c>
      <c r="B109" s="2" t="s">
        <v>88</v>
      </c>
      <c r="C109" s="2">
        <v>1994</v>
      </c>
      <c r="D109" s="2" t="s">
        <v>56</v>
      </c>
      <c r="E109" s="6" t="s">
        <v>53</v>
      </c>
      <c r="F109" s="3">
        <f t="shared" ca="1" si="9"/>
        <v>4984447</v>
      </c>
      <c r="G109" s="3">
        <f t="shared" ca="1" si="9"/>
        <v>191755</v>
      </c>
      <c r="H109" s="3">
        <f t="shared" ca="1" si="9"/>
        <v>5321432</v>
      </c>
      <c r="I109" s="9">
        <f t="shared" ca="1" si="10"/>
        <v>10497634</v>
      </c>
    </row>
    <row r="110" spans="1:9" x14ac:dyDescent="0.25">
      <c r="A110" s="8" t="s">
        <v>143</v>
      </c>
      <c r="B110" s="2" t="s">
        <v>79</v>
      </c>
      <c r="C110" s="2">
        <v>2013</v>
      </c>
      <c r="D110" s="2" t="s">
        <v>68</v>
      </c>
      <c r="E110" s="6" t="s">
        <v>80</v>
      </c>
      <c r="F110" s="3">
        <f t="shared" ca="1" si="9"/>
        <v>2483902</v>
      </c>
      <c r="G110" s="3">
        <f t="shared" ca="1" si="9"/>
        <v>1496009</v>
      </c>
      <c r="H110" s="3">
        <f t="shared" ca="1" si="9"/>
        <v>1188403</v>
      </c>
      <c r="I110" s="9">
        <f t="shared" ca="1" si="10"/>
        <v>5168314</v>
      </c>
    </row>
    <row r="111" spans="1:9" x14ac:dyDescent="0.25">
      <c r="A111" s="8" t="s">
        <v>144</v>
      </c>
      <c r="B111" s="2" t="s">
        <v>105</v>
      </c>
      <c r="C111" s="2">
        <v>2012</v>
      </c>
      <c r="D111" s="2" t="s">
        <v>73</v>
      </c>
      <c r="E111" s="6" t="s">
        <v>53</v>
      </c>
      <c r="F111" s="3">
        <f t="shared" ca="1" si="9"/>
        <v>909338</v>
      </c>
      <c r="G111" s="3">
        <f t="shared" ca="1" si="9"/>
        <v>2967490</v>
      </c>
      <c r="H111" s="3">
        <f t="shared" ca="1" si="9"/>
        <v>3126864</v>
      </c>
      <c r="I111" s="9">
        <f t="shared" ca="1" si="10"/>
        <v>7003692</v>
      </c>
    </row>
    <row r="112" spans="1:9" x14ac:dyDescent="0.25">
      <c r="A112" s="8" t="s">
        <v>145</v>
      </c>
      <c r="B112" s="2" t="s">
        <v>66</v>
      </c>
      <c r="C112" s="2">
        <v>2007</v>
      </c>
      <c r="D112" s="2" t="s">
        <v>68</v>
      </c>
      <c r="E112" s="6" t="s">
        <v>53</v>
      </c>
      <c r="F112" s="3">
        <f t="shared" ca="1" si="9"/>
        <v>3313925</v>
      </c>
      <c r="G112" s="3">
        <f t="shared" ca="1" si="9"/>
        <v>4118261</v>
      </c>
      <c r="H112" s="3">
        <f t="shared" ca="1" si="9"/>
        <v>5986867</v>
      </c>
      <c r="I112" s="9">
        <f t="shared" ca="1" si="10"/>
        <v>13419053</v>
      </c>
    </row>
    <row r="113" spans="1:9" x14ac:dyDescent="0.25">
      <c r="A113" s="8" t="s">
        <v>146</v>
      </c>
      <c r="B113" s="2" t="s">
        <v>79</v>
      </c>
      <c r="C113" s="2">
        <v>2011</v>
      </c>
      <c r="D113" s="2" t="s">
        <v>62</v>
      </c>
      <c r="E113" s="6" t="s">
        <v>147</v>
      </c>
      <c r="F113" s="3">
        <f t="shared" ca="1" si="9"/>
        <v>965652</v>
      </c>
      <c r="G113" s="3">
        <f t="shared" ca="1" si="9"/>
        <v>4640107</v>
      </c>
      <c r="H113" s="3">
        <f t="shared" ca="1" si="9"/>
        <v>1977073</v>
      </c>
      <c r="I113" s="9">
        <f t="shared" ca="1" si="10"/>
        <v>7582832</v>
      </c>
    </row>
    <row r="114" spans="1:9" x14ac:dyDescent="0.25">
      <c r="A114" s="8" t="s">
        <v>148</v>
      </c>
      <c r="B114" s="2" t="s">
        <v>88</v>
      </c>
      <c r="C114" s="2">
        <v>1992</v>
      </c>
      <c r="D114" s="2" t="s">
        <v>58</v>
      </c>
      <c r="E114" s="6" t="s">
        <v>53</v>
      </c>
      <c r="F114" s="3">
        <f t="shared" ca="1" si="9"/>
        <v>4957614</v>
      </c>
      <c r="G114" s="3">
        <f t="shared" ca="1" si="9"/>
        <v>323199</v>
      </c>
      <c r="H114" s="3">
        <f t="shared" ca="1" si="9"/>
        <v>3977003</v>
      </c>
      <c r="I114" s="9">
        <f t="shared" ca="1" si="10"/>
        <v>9257816</v>
      </c>
    </row>
    <row r="115" spans="1:9" x14ac:dyDescent="0.25">
      <c r="A115" s="8" t="s">
        <v>149</v>
      </c>
      <c r="B115" s="2" t="s">
        <v>150</v>
      </c>
      <c r="C115" s="2">
        <v>2004</v>
      </c>
      <c r="D115" s="2" t="s">
        <v>71</v>
      </c>
      <c r="E115" s="6" t="s">
        <v>80</v>
      </c>
      <c r="F115" s="3">
        <f t="shared" ca="1" si="9"/>
        <v>3715305</v>
      </c>
      <c r="G115" s="3">
        <f t="shared" ca="1" si="9"/>
        <v>842737</v>
      </c>
      <c r="H115" s="3">
        <f t="shared" ca="1" si="9"/>
        <v>3096196</v>
      </c>
      <c r="I115" s="9">
        <f t="shared" ca="1" si="10"/>
        <v>7654238</v>
      </c>
    </row>
    <row r="116" spans="1:9" x14ac:dyDescent="0.25">
      <c r="A116" s="8" t="s">
        <v>151</v>
      </c>
      <c r="B116" s="2" t="s">
        <v>51</v>
      </c>
      <c r="C116" s="2">
        <v>2010</v>
      </c>
      <c r="D116" s="2" t="s">
        <v>68</v>
      </c>
      <c r="E116" s="6" t="s">
        <v>53</v>
      </c>
      <c r="F116" s="3">
        <f t="shared" ca="1" si="9"/>
        <v>4578915</v>
      </c>
      <c r="G116" s="3">
        <f t="shared" ca="1" si="9"/>
        <v>1231322</v>
      </c>
      <c r="H116" s="3">
        <f t="shared" ca="1" si="9"/>
        <v>1423187</v>
      </c>
      <c r="I116" s="9">
        <f t="shared" ca="1" si="10"/>
        <v>7233424</v>
      </c>
    </row>
    <row r="117" spans="1:9" x14ac:dyDescent="0.25">
      <c r="A117" s="8" t="s">
        <v>152</v>
      </c>
      <c r="B117" s="2" t="s">
        <v>107</v>
      </c>
      <c r="C117" s="2">
        <v>2015</v>
      </c>
      <c r="D117" s="2" t="s">
        <v>52</v>
      </c>
      <c r="E117" s="6" t="s">
        <v>153</v>
      </c>
      <c r="F117" s="3">
        <f t="shared" ca="1" si="9"/>
        <v>122750</v>
      </c>
      <c r="G117" s="3">
        <f t="shared" ca="1" si="9"/>
        <v>2253124</v>
      </c>
      <c r="H117" s="3">
        <f t="shared" ca="1" si="9"/>
        <v>2354970</v>
      </c>
      <c r="I117" s="9">
        <f t="shared" ca="1" si="10"/>
        <v>4730844</v>
      </c>
    </row>
    <row r="118" spans="1:9" x14ac:dyDescent="0.25">
      <c r="A118" s="8" t="s">
        <v>154</v>
      </c>
      <c r="B118" s="2" t="s">
        <v>51</v>
      </c>
      <c r="C118" s="2">
        <v>2007</v>
      </c>
      <c r="D118" s="2" t="s">
        <v>68</v>
      </c>
      <c r="E118" s="6" t="s">
        <v>53</v>
      </c>
      <c r="F118" s="3">
        <f t="shared" ca="1" si="9"/>
        <v>4491159</v>
      </c>
      <c r="G118" s="3">
        <f t="shared" ca="1" si="9"/>
        <v>124562</v>
      </c>
      <c r="H118" s="3">
        <f t="shared" ca="1" si="9"/>
        <v>5286615</v>
      </c>
      <c r="I118" s="9">
        <f t="shared" ca="1" si="10"/>
        <v>9902336</v>
      </c>
    </row>
    <row r="119" spans="1:9" x14ac:dyDescent="0.25">
      <c r="A119" s="8" t="s">
        <v>155</v>
      </c>
      <c r="B119" s="2" t="s">
        <v>66</v>
      </c>
      <c r="C119" s="2">
        <v>2012</v>
      </c>
      <c r="D119" s="2" t="s">
        <v>62</v>
      </c>
      <c r="E119" s="6" t="s">
        <v>53</v>
      </c>
      <c r="F119" s="3">
        <f t="shared" ca="1" si="9"/>
        <v>806566</v>
      </c>
      <c r="G119" s="3">
        <f t="shared" ca="1" si="9"/>
        <v>4013062</v>
      </c>
      <c r="H119" s="3">
        <f t="shared" ca="1" si="9"/>
        <v>4064249</v>
      </c>
      <c r="I119" s="9">
        <f t="shared" ca="1" si="10"/>
        <v>8883877</v>
      </c>
    </row>
    <row r="120" spans="1:9" x14ac:dyDescent="0.25">
      <c r="A120" s="8" t="s">
        <v>156</v>
      </c>
      <c r="B120" s="2" t="s">
        <v>82</v>
      </c>
      <c r="C120" s="2">
        <v>2012</v>
      </c>
      <c r="D120" s="2" t="s">
        <v>83</v>
      </c>
      <c r="E120" s="6" t="s">
        <v>153</v>
      </c>
      <c r="F120" s="3">
        <f t="shared" ca="1" si="9"/>
        <v>3670292</v>
      </c>
      <c r="G120" s="3">
        <f t="shared" ca="1" si="9"/>
        <v>3696613</v>
      </c>
      <c r="H120" s="3">
        <f t="shared" ca="1" si="9"/>
        <v>78089</v>
      </c>
      <c r="I120" s="9">
        <f t="shared" ca="1" si="10"/>
        <v>7444994</v>
      </c>
    </row>
    <row r="121" spans="1:9" x14ac:dyDescent="0.25">
      <c r="A121" s="8" t="s">
        <v>157</v>
      </c>
      <c r="B121" s="2" t="s">
        <v>158</v>
      </c>
      <c r="C121" s="2">
        <v>2009</v>
      </c>
      <c r="D121" s="2" t="s">
        <v>73</v>
      </c>
      <c r="E121" s="6" t="s">
        <v>153</v>
      </c>
      <c r="F121" s="3">
        <f t="shared" ca="1" si="9"/>
        <v>4932260</v>
      </c>
      <c r="G121" s="3">
        <f t="shared" ca="1" si="9"/>
        <v>3004335</v>
      </c>
      <c r="H121" s="3">
        <f t="shared" ca="1" si="9"/>
        <v>254878</v>
      </c>
      <c r="I121" s="9">
        <f t="shared" ca="1" si="10"/>
        <v>8191473</v>
      </c>
    </row>
    <row r="122" spans="1:9" x14ac:dyDescent="0.25">
      <c r="A122" s="8" t="s">
        <v>159</v>
      </c>
      <c r="B122" s="2" t="s">
        <v>118</v>
      </c>
      <c r="C122" s="2">
        <v>1997</v>
      </c>
      <c r="D122" s="2" t="s">
        <v>71</v>
      </c>
      <c r="E122" s="6" t="s">
        <v>53</v>
      </c>
      <c r="F122" s="3">
        <f t="shared" ca="1" si="9"/>
        <v>4906765</v>
      </c>
      <c r="G122" s="3">
        <f t="shared" ca="1" si="9"/>
        <v>2664329</v>
      </c>
      <c r="H122" s="3">
        <f t="shared" ca="1" si="9"/>
        <v>5120824</v>
      </c>
      <c r="I122" s="9">
        <f t="shared" ca="1" si="10"/>
        <v>12691918</v>
      </c>
    </row>
    <row r="123" spans="1:9" x14ac:dyDescent="0.25">
      <c r="A123" s="8" t="s">
        <v>160</v>
      </c>
      <c r="B123" s="2" t="s">
        <v>51</v>
      </c>
      <c r="C123" s="2">
        <v>2007</v>
      </c>
      <c r="D123" s="2" t="s">
        <v>52</v>
      </c>
      <c r="E123" s="6" t="s">
        <v>161</v>
      </c>
      <c r="F123" s="3">
        <f t="shared" ca="1" si="9"/>
        <v>4963246</v>
      </c>
      <c r="G123" s="3">
        <f t="shared" ca="1" si="9"/>
        <v>2516646</v>
      </c>
      <c r="H123" s="3">
        <f t="shared" ca="1" si="9"/>
        <v>155240</v>
      </c>
      <c r="I123" s="9">
        <f t="shared" ca="1" si="10"/>
        <v>7635132</v>
      </c>
    </row>
    <row r="124" spans="1:9" x14ac:dyDescent="0.25">
      <c r="A124" s="8" t="s">
        <v>162</v>
      </c>
      <c r="B124" s="2" t="s">
        <v>86</v>
      </c>
      <c r="C124" s="2">
        <v>2001</v>
      </c>
      <c r="D124" s="2" t="s">
        <v>62</v>
      </c>
      <c r="E124" s="6" t="s">
        <v>99</v>
      </c>
      <c r="F124" s="3">
        <f t="shared" ca="1" si="9"/>
        <v>1899375</v>
      </c>
      <c r="G124" s="3">
        <f t="shared" ca="1" si="9"/>
        <v>4032420</v>
      </c>
      <c r="H124" s="3">
        <f t="shared" ca="1" si="9"/>
        <v>336906</v>
      </c>
      <c r="I124" s="9">
        <f t="shared" ca="1" si="10"/>
        <v>6268701</v>
      </c>
    </row>
    <row r="125" spans="1:9" x14ac:dyDescent="0.25">
      <c r="A125" s="8" t="s">
        <v>163</v>
      </c>
      <c r="B125" s="2" t="s">
        <v>126</v>
      </c>
      <c r="C125" s="2">
        <v>1999</v>
      </c>
      <c r="D125" s="2" t="s">
        <v>62</v>
      </c>
      <c r="E125" s="6" t="s">
        <v>164</v>
      </c>
      <c r="F125" s="3">
        <f t="shared" ca="1" si="9"/>
        <v>5427589</v>
      </c>
      <c r="G125" s="3">
        <f t="shared" ca="1" si="9"/>
        <v>3835304</v>
      </c>
      <c r="H125" s="3">
        <f t="shared" ca="1" si="9"/>
        <v>3754977</v>
      </c>
      <c r="I125" s="9">
        <f t="shared" ca="1" si="10"/>
        <v>13017870</v>
      </c>
    </row>
    <row r="126" spans="1:9" x14ac:dyDescent="0.25">
      <c r="A126" s="8" t="s">
        <v>165</v>
      </c>
      <c r="B126" s="2" t="s">
        <v>66</v>
      </c>
      <c r="C126" s="2">
        <v>2008</v>
      </c>
      <c r="D126" s="2" t="s">
        <v>62</v>
      </c>
      <c r="E126" s="6" t="s">
        <v>53</v>
      </c>
      <c r="F126" s="3">
        <f t="shared" ca="1" si="9"/>
        <v>4142517</v>
      </c>
      <c r="G126" s="3">
        <f t="shared" ca="1" si="9"/>
        <v>3953803</v>
      </c>
      <c r="H126" s="3">
        <f t="shared" ca="1" si="9"/>
        <v>4176863</v>
      </c>
      <c r="I126" s="9">
        <f t="shared" ca="1" si="10"/>
        <v>12273183</v>
      </c>
    </row>
    <row r="127" spans="1:9" x14ac:dyDescent="0.25">
      <c r="A127" s="8" t="s">
        <v>166</v>
      </c>
      <c r="B127" s="2" t="s">
        <v>66</v>
      </c>
      <c r="C127" s="2">
        <v>1982</v>
      </c>
      <c r="D127" s="2" t="s">
        <v>64</v>
      </c>
      <c r="E127" s="6" t="s">
        <v>167</v>
      </c>
      <c r="F127" s="3">
        <f t="shared" ca="1" si="9"/>
        <v>2048952</v>
      </c>
      <c r="G127" s="3">
        <f t="shared" ca="1" si="9"/>
        <v>1943475</v>
      </c>
      <c r="H127" s="3">
        <f t="shared" ca="1" si="9"/>
        <v>2383803</v>
      </c>
      <c r="I127" s="9">
        <f t="shared" ca="1" si="10"/>
        <v>6376230</v>
      </c>
    </row>
    <row r="128" spans="1:9" x14ac:dyDescent="0.25">
      <c r="A128" s="8" t="s">
        <v>168</v>
      </c>
      <c r="B128" s="2" t="s">
        <v>169</v>
      </c>
      <c r="C128" s="2">
        <v>2005</v>
      </c>
      <c r="D128" s="2" t="s">
        <v>83</v>
      </c>
      <c r="E128" s="6" t="s">
        <v>84</v>
      </c>
      <c r="F128" s="3">
        <f t="shared" ca="1" si="9"/>
        <v>5834833</v>
      </c>
      <c r="G128" s="3">
        <f t="shared" ca="1" si="9"/>
        <v>5759170</v>
      </c>
      <c r="H128" s="3">
        <f t="shared" ca="1" si="9"/>
        <v>3592987</v>
      </c>
      <c r="I128" s="9">
        <f t="shared" ca="1" si="10"/>
        <v>15186990</v>
      </c>
    </row>
    <row r="129" spans="1:9" x14ac:dyDescent="0.25">
      <c r="A129" s="8" t="s">
        <v>170</v>
      </c>
      <c r="B129" s="2" t="s">
        <v>51</v>
      </c>
      <c r="C129" s="2">
        <v>2010</v>
      </c>
      <c r="D129" s="2" t="s">
        <v>56</v>
      </c>
      <c r="E129" s="6" t="s">
        <v>53</v>
      </c>
      <c r="F129" s="3">
        <f t="shared" ca="1" si="9"/>
        <v>3008496</v>
      </c>
      <c r="G129" s="3">
        <f t="shared" ca="1" si="9"/>
        <v>2103216</v>
      </c>
      <c r="H129" s="3">
        <f t="shared" ca="1" si="9"/>
        <v>5049722</v>
      </c>
      <c r="I129" s="9">
        <f t="shared" ca="1" si="10"/>
        <v>10161434</v>
      </c>
    </row>
    <row r="130" spans="1:9" x14ac:dyDescent="0.25">
      <c r="A130" s="8" t="s">
        <v>171</v>
      </c>
      <c r="B130" s="2" t="s">
        <v>107</v>
      </c>
      <c r="C130" s="2">
        <v>2015</v>
      </c>
      <c r="D130" s="2" t="s">
        <v>71</v>
      </c>
      <c r="E130" s="6" t="s">
        <v>153</v>
      </c>
      <c r="F130" s="3">
        <f t="shared" ca="1" si="9"/>
        <v>3083164</v>
      </c>
      <c r="G130" s="3">
        <f t="shared" ca="1" si="9"/>
        <v>1603441</v>
      </c>
      <c r="H130" s="3">
        <f t="shared" ca="1" si="9"/>
        <v>2076266</v>
      </c>
      <c r="I130" s="9">
        <f t="shared" ca="1" si="10"/>
        <v>6762871</v>
      </c>
    </row>
    <row r="131" spans="1:9" x14ac:dyDescent="0.25">
      <c r="A131" s="8" t="s">
        <v>172</v>
      </c>
      <c r="B131" s="2" t="s">
        <v>118</v>
      </c>
      <c r="C131" s="2">
        <v>1998</v>
      </c>
      <c r="D131" s="2" t="s">
        <v>83</v>
      </c>
      <c r="E131" s="6" t="s">
        <v>53</v>
      </c>
      <c r="F131" s="3">
        <f t="shared" ca="1" si="9"/>
        <v>2062603</v>
      </c>
      <c r="G131" s="3">
        <f t="shared" ca="1" si="9"/>
        <v>978215</v>
      </c>
      <c r="H131" s="3">
        <f t="shared" ca="1" si="9"/>
        <v>3551172</v>
      </c>
      <c r="I131" s="9">
        <f t="shared" ca="1" si="10"/>
        <v>6591990</v>
      </c>
    </row>
    <row r="132" spans="1:9" x14ac:dyDescent="0.25">
      <c r="A132" s="8" t="s">
        <v>173</v>
      </c>
      <c r="B132" s="2" t="s">
        <v>107</v>
      </c>
      <c r="C132" s="2">
        <v>2014</v>
      </c>
      <c r="D132" s="2" t="s">
        <v>71</v>
      </c>
      <c r="E132" s="6" t="s">
        <v>101</v>
      </c>
      <c r="F132" s="3">
        <f t="shared" ca="1" si="9"/>
        <v>1586517</v>
      </c>
      <c r="G132" s="3">
        <f t="shared" ca="1" si="9"/>
        <v>2180745</v>
      </c>
      <c r="H132" s="3">
        <f t="shared" ca="1" si="9"/>
        <v>3056362</v>
      </c>
      <c r="I132" s="9">
        <f t="shared" ca="1" si="10"/>
        <v>6823624</v>
      </c>
    </row>
    <row r="133" spans="1:9" x14ac:dyDescent="0.25">
      <c r="A133" s="8" t="s">
        <v>174</v>
      </c>
      <c r="B133" s="2" t="s">
        <v>126</v>
      </c>
      <c r="C133" s="2">
        <v>1997</v>
      </c>
      <c r="D133" s="2" t="s">
        <v>56</v>
      </c>
      <c r="E133" s="6" t="s">
        <v>99</v>
      </c>
      <c r="F133" s="3">
        <f t="shared" ca="1" si="9"/>
        <v>4382200</v>
      </c>
      <c r="G133" s="3">
        <f t="shared" ca="1" si="9"/>
        <v>1363012</v>
      </c>
      <c r="H133" s="3">
        <f t="shared" ca="1" si="9"/>
        <v>4938337</v>
      </c>
      <c r="I133" s="9">
        <f t="shared" ca="1" si="10"/>
        <v>10683549</v>
      </c>
    </row>
    <row r="134" spans="1:9" x14ac:dyDescent="0.25">
      <c r="A134" s="8" t="s">
        <v>175</v>
      </c>
      <c r="B134" s="2" t="s">
        <v>55</v>
      </c>
      <c r="C134" s="2">
        <v>1988</v>
      </c>
      <c r="D134" s="2" t="s">
        <v>56</v>
      </c>
      <c r="E134" s="6" t="s">
        <v>53</v>
      </c>
      <c r="F134" s="3">
        <f t="shared" ca="1" si="9"/>
        <v>1308095</v>
      </c>
      <c r="G134" s="3">
        <f t="shared" ca="1" si="9"/>
        <v>4239370</v>
      </c>
      <c r="H134" s="3">
        <f t="shared" ca="1" si="9"/>
        <v>4583611</v>
      </c>
      <c r="I134" s="9">
        <f t="shared" ca="1" si="10"/>
        <v>10131076</v>
      </c>
    </row>
    <row r="135" spans="1:9" x14ac:dyDescent="0.25">
      <c r="A135" s="8" t="s">
        <v>176</v>
      </c>
      <c r="B135" s="2" t="s">
        <v>105</v>
      </c>
      <c r="C135" s="2">
        <v>2014</v>
      </c>
      <c r="D135" s="2" t="s">
        <v>112</v>
      </c>
      <c r="E135" s="6" t="s">
        <v>53</v>
      </c>
      <c r="F135" s="3">
        <f t="shared" ca="1" si="9"/>
        <v>4073718</v>
      </c>
      <c r="G135" s="3">
        <f t="shared" ca="1" si="9"/>
        <v>4611492</v>
      </c>
      <c r="H135" s="3">
        <f t="shared" ca="1" si="9"/>
        <v>5153473</v>
      </c>
      <c r="I135" s="9">
        <f t="shared" ca="1" si="10"/>
        <v>13838683</v>
      </c>
    </row>
    <row r="136" spans="1:9" x14ac:dyDescent="0.25">
      <c r="A136" s="8" t="s">
        <v>177</v>
      </c>
      <c r="B136" s="2" t="s">
        <v>79</v>
      </c>
      <c r="C136" s="2">
        <v>2008</v>
      </c>
      <c r="D136" s="2" t="s">
        <v>71</v>
      </c>
      <c r="E136" s="6" t="s">
        <v>101</v>
      </c>
      <c r="F136" s="3">
        <f t="shared" ca="1" si="9"/>
        <v>5039348</v>
      </c>
      <c r="G136" s="3">
        <f t="shared" ca="1" si="9"/>
        <v>2721060</v>
      </c>
      <c r="H136" s="3">
        <f t="shared" ca="1" si="9"/>
        <v>2319091</v>
      </c>
      <c r="I136" s="9">
        <f t="shared" ca="1" si="10"/>
        <v>10079499</v>
      </c>
    </row>
    <row r="137" spans="1:9" x14ac:dyDescent="0.25">
      <c r="A137" s="8" t="s">
        <v>178</v>
      </c>
      <c r="B137" s="2" t="s">
        <v>79</v>
      </c>
      <c r="C137" s="2">
        <v>2011</v>
      </c>
      <c r="D137" s="2" t="s">
        <v>71</v>
      </c>
      <c r="E137" s="6" t="s">
        <v>153</v>
      </c>
      <c r="F137" s="3">
        <f t="shared" ca="1" si="9"/>
        <v>5030077</v>
      </c>
      <c r="G137" s="3">
        <f t="shared" ca="1" si="9"/>
        <v>59391</v>
      </c>
      <c r="H137" s="3">
        <f t="shared" ca="1" si="9"/>
        <v>1783108</v>
      </c>
      <c r="I137" s="9">
        <f t="shared" ca="1" si="10"/>
        <v>6872576</v>
      </c>
    </row>
    <row r="138" spans="1:9" x14ac:dyDescent="0.25">
      <c r="A138" s="8" t="s">
        <v>179</v>
      </c>
      <c r="B138" s="2" t="s">
        <v>51</v>
      </c>
      <c r="C138" s="2">
        <v>2006</v>
      </c>
      <c r="D138" s="2" t="s">
        <v>83</v>
      </c>
      <c r="E138" s="6" t="s">
        <v>53</v>
      </c>
      <c r="F138" s="3">
        <f t="shared" ca="1" si="9"/>
        <v>3166339</v>
      </c>
      <c r="G138" s="3">
        <f t="shared" ca="1" si="9"/>
        <v>688579</v>
      </c>
      <c r="H138" s="3">
        <f t="shared" ca="1" si="9"/>
        <v>279591</v>
      </c>
      <c r="I138" s="9">
        <f t="shared" ca="1" si="10"/>
        <v>4134509</v>
      </c>
    </row>
    <row r="139" spans="1:9" x14ac:dyDescent="0.25">
      <c r="A139" s="8" t="s">
        <v>106</v>
      </c>
      <c r="B139" s="2" t="s">
        <v>180</v>
      </c>
      <c r="C139" s="2">
        <v>2015</v>
      </c>
      <c r="D139" s="2" t="s">
        <v>71</v>
      </c>
      <c r="E139" s="6" t="s">
        <v>101</v>
      </c>
      <c r="F139" s="3">
        <f t="shared" ca="1" si="9"/>
        <v>2273945</v>
      </c>
      <c r="G139" s="3">
        <f t="shared" ca="1" si="9"/>
        <v>4300440</v>
      </c>
      <c r="H139" s="3">
        <f t="shared" ca="1" si="9"/>
        <v>4572151</v>
      </c>
      <c r="I139" s="9">
        <f t="shared" ca="1" si="10"/>
        <v>11146536</v>
      </c>
    </row>
    <row r="140" spans="1:9" x14ac:dyDescent="0.25">
      <c r="A140" s="8" t="s">
        <v>181</v>
      </c>
      <c r="B140" s="2" t="s">
        <v>51</v>
      </c>
      <c r="C140" s="2">
        <v>2009</v>
      </c>
      <c r="D140" s="2" t="s">
        <v>68</v>
      </c>
      <c r="E140" s="6" t="s">
        <v>132</v>
      </c>
      <c r="F140" s="3">
        <f t="shared" ca="1" si="9"/>
        <v>5263013</v>
      </c>
      <c r="G140" s="3">
        <f t="shared" ca="1" si="9"/>
        <v>3319998</v>
      </c>
      <c r="H140" s="3">
        <f t="shared" ca="1" si="9"/>
        <v>2069268</v>
      </c>
      <c r="I140" s="9">
        <f t="shared" ca="1" si="10"/>
        <v>10652279</v>
      </c>
    </row>
    <row r="141" spans="1:9" x14ac:dyDescent="0.25">
      <c r="A141" s="8" t="s">
        <v>178</v>
      </c>
      <c r="B141" s="2" t="s">
        <v>82</v>
      </c>
      <c r="C141" s="2">
        <v>2011</v>
      </c>
      <c r="D141" s="2" t="s">
        <v>71</v>
      </c>
      <c r="E141" s="6" t="s">
        <v>153</v>
      </c>
      <c r="F141" s="3">
        <f t="shared" ca="1" si="9"/>
        <v>5799852</v>
      </c>
      <c r="G141" s="3">
        <f t="shared" ca="1" si="9"/>
        <v>1384709</v>
      </c>
      <c r="H141" s="3">
        <f t="shared" ca="1" si="9"/>
        <v>116044</v>
      </c>
      <c r="I141" s="9">
        <f t="shared" ca="1" si="10"/>
        <v>7300605</v>
      </c>
    </row>
    <row r="142" spans="1:9" x14ac:dyDescent="0.25">
      <c r="A142" s="8" t="s">
        <v>182</v>
      </c>
      <c r="B142" s="2" t="s">
        <v>86</v>
      </c>
      <c r="C142" s="2">
        <v>2003</v>
      </c>
      <c r="D142" s="2" t="s">
        <v>58</v>
      </c>
      <c r="E142" s="6" t="s">
        <v>153</v>
      </c>
      <c r="F142" s="3">
        <f t="shared" ca="1" si="9"/>
        <v>534686</v>
      </c>
      <c r="G142" s="3">
        <f t="shared" ca="1" si="9"/>
        <v>2250563</v>
      </c>
      <c r="H142" s="3">
        <f t="shared" ca="1" si="9"/>
        <v>1976522</v>
      </c>
      <c r="I142" s="9">
        <f t="shared" ca="1" si="10"/>
        <v>4761771</v>
      </c>
    </row>
    <row r="143" spans="1:9" x14ac:dyDescent="0.25">
      <c r="A143" s="8" t="s">
        <v>183</v>
      </c>
      <c r="B143" s="2" t="s">
        <v>126</v>
      </c>
      <c r="C143" s="2">
        <v>1998</v>
      </c>
      <c r="D143" s="2" t="s">
        <v>112</v>
      </c>
      <c r="E143" s="6" t="s">
        <v>99</v>
      </c>
      <c r="F143" s="3">
        <f t="shared" ca="1" si="9"/>
        <v>3900902</v>
      </c>
      <c r="G143" s="3">
        <f t="shared" ca="1" si="9"/>
        <v>5435133</v>
      </c>
      <c r="H143" s="3">
        <f t="shared" ca="1" si="9"/>
        <v>566827</v>
      </c>
      <c r="I143" s="9">
        <f t="shared" ca="1" si="10"/>
        <v>9902862</v>
      </c>
    </row>
    <row r="144" spans="1:9" x14ac:dyDescent="0.25">
      <c r="A144" s="8" t="s">
        <v>184</v>
      </c>
      <c r="B144" s="2" t="s">
        <v>126</v>
      </c>
      <c r="C144" s="2">
        <v>1998</v>
      </c>
      <c r="D144" s="2" t="s">
        <v>56</v>
      </c>
      <c r="E144" s="6" t="s">
        <v>99</v>
      </c>
      <c r="F144" s="3">
        <f t="shared" ca="1" si="9"/>
        <v>4742008</v>
      </c>
      <c r="G144" s="3">
        <f t="shared" ca="1" si="9"/>
        <v>764869</v>
      </c>
      <c r="H144" s="3">
        <f t="shared" ca="1" si="9"/>
        <v>1746040</v>
      </c>
      <c r="I144" s="9">
        <f t="shared" ca="1" si="10"/>
        <v>7252917</v>
      </c>
    </row>
    <row r="145" spans="1:9" x14ac:dyDescent="0.25">
      <c r="A145" s="8" t="s">
        <v>185</v>
      </c>
      <c r="B145" s="2" t="s">
        <v>186</v>
      </c>
      <c r="C145" s="2">
        <v>2001</v>
      </c>
      <c r="D145" s="2" t="s">
        <v>112</v>
      </c>
      <c r="E145" s="6" t="s">
        <v>53</v>
      </c>
      <c r="F145" s="3">
        <f t="shared" ca="1" si="9"/>
        <v>1246591</v>
      </c>
      <c r="G145" s="3">
        <f t="shared" ca="1" si="9"/>
        <v>5902326</v>
      </c>
      <c r="H145" s="3">
        <f t="shared" ca="1" si="9"/>
        <v>4152076</v>
      </c>
      <c r="I145" s="9">
        <f t="shared" ca="1" si="10"/>
        <v>11300993</v>
      </c>
    </row>
    <row r="146" spans="1:9" x14ac:dyDescent="0.25">
      <c r="A146" s="14" t="s">
        <v>187</v>
      </c>
      <c r="B146" s="15" t="s">
        <v>188</v>
      </c>
      <c r="C146" s="15">
        <v>2014</v>
      </c>
      <c r="D146" s="15" t="s">
        <v>58</v>
      </c>
      <c r="E146" s="16" t="s">
        <v>53</v>
      </c>
      <c r="F146" s="17">
        <f t="shared" ca="1" si="9"/>
        <v>3253405</v>
      </c>
      <c r="G146" s="17">
        <f t="shared" ca="1" si="9"/>
        <v>3811546</v>
      </c>
      <c r="H146" s="17">
        <f t="shared" ca="1" si="9"/>
        <v>5880317</v>
      </c>
      <c r="I146" s="18">
        <f t="shared" ca="1" si="10"/>
        <v>12945268</v>
      </c>
    </row>
    <row r="147" spans="1:9" x14ac:dyDescent="0.25">
      <c r="A147" s="14" t="s">
        <v>253</v>
      </c>
      <c r="B147" s="15"/>
      <c r="C147" s="15"/>
      <c r="D147" s="15"/>
      <c r="E147" s="16"/>
      <c r="F147" s="20"/>
      <c r="G147" s="19"/>
      <c r="H147" s="19"/>
      <c r="I147" s="21"/>
    </row>
    <row r="148" spans="1:9" x14ac:dyDescent="0.25">
      <c r="A148" t="s">
        <v>250</v>
      </c>
      <c r="C148" s="22">
        <f ca="1">SUMIF(B38:B146,"Wii",F38:F146)</f>
        <v>54786326</v>
      </c>
      <c r="D148">
        <v>1</v>
      </c>
    </row>
    <row r="149" spans="1:9" x14ac:dyDescent="0.25">
      <c r="A149" t="s">
        <v>190</v>
      </c>
      <c r="C149" s="22">
        <f ca="1">SUMIF(B38:B146,"PS4",I38:I146)</f>
        <v>37935326</v>
      </c>
      <c r="D149">
        <v>1</v>
      </c>
    </row>
    <row r="150" spans="1:9" x14ac:dyDescent="0.25">
      <c r="A150" t="s">
        <v>191</v>
      </c>
      <c r="C150" s="23">
        <f>COUNTIFS(B38:B146,"=Xone",D38:D146,"=Racing")</f>
        <v>0</v>
      </c>
      <c r="D150">
        <v>1</v>
      </c>
    </row>
    <row r="151" spans="1:9" x14ac:dyDescent="0.25">
      <c r="A151" t="s">
        <v>252</v>
      </c>
      <c r="C151" s="22">
        <f ca="1">AVERAGEIF(E38:E146,"=Nintendo",I38:I146)</f>
        <v>9240758.2181818187</v>
      </c>
      <c r="D151">
        <v>1</v>
      </c>
    </row>
    <row r="152" spans="1:9" x14ac:dyDescent="0.25">
      <c r="A152" t="s">
        <v>192</v>
      </c>
      <c r="C152" s="23">
        <f>COUNTIF(A38:A146,"=*Call of Duty*")</f>
        <v>15</v>
      </c>
      <c r="D152">
        <v>1</v>
      </c>
    </row>
    <row r="153" spans="1:9" x14ac:dyDescent="0.25">
      <c r="A153" t="s">
        <v>251</v>
      </c>
      <c r="C153" s="22">
        <f ca="1">AVERAGEIF(E38:E146,"=Ubisoft",I38:I146)</f>
        <v>9070609</v>
      </c>
      <c r="D153">
        <v>1</v>
      </c>
    </row>
    <row r="156" spans="1:9" x14ac:dyDescent="0.25">
      <c r="A156" s="40" t="s">
        <v>193</v>
      </c>
      <c r="B156" s="40"/>
    </row>
    <row r="157" spans="1:9" x14ac:dyDescent="0.25">
      <c r="A157" s="40"/>
      <c r="B157" s="40"/>
    </row>
    <row r="159" spans="1:9" x14ac:dyDescent="0.25">
      <c r="A159" t="s">
        <v>194</v>
      </c>
      <c r="E159" s="41" t="s">
        <v>257</v>
      </c>
      <c r="F159" s="41"/>
    </row>
    <row r="160" spans="1:9" x14ac:dyDescent="0.25">
      <c r="A160" t="s">
        <v>196</v>
      </c>
      <c r="E160" s="41"/>
      <c r="F160" s="41"/>
    </row>
    <row r="162" spans="1:2" x14ac:dyDescent="0.25">
      <c r="A162" s="5" t="s">
        <v>195</v>
      </c>
      <c r="B162">
        <v>1</v>
      </c>
    </row>
    <row r="163" spans="1:2" x14ac:dyDescent="0.25">
      <c r="A163" s="5">
        <v>1</v>
      </c>
    </row>
    <row r="164" spans="1:2" x14ac:dyDescent="0.25">
      <c r="A164" s="5">
        <v>1</v>
      </c>
    </row>
    <row r="165" spans="1:2" x14ac:dyDescent="0.25">
      <c r="A165" s="5">
        <v>2</v>
      </c>
    </row>
    <row r="166" spans="1:2" x14ac:dyDescent="0.25">
      <c r="A166" s="5">
        <v>2</v>
      </c>
    </row>
    <row r="167" spans="1:2" x14ac:dyDescent="0.25">
      <c r="A167" s="5">
        <v>2</v>
      </c>
    </row>
    <row r="168" spans="1:2" x14ac:dyDescent="0.25">
      <c r="A168" s="5">
        <v>4</v>
      </c>
    </row>
    <row r="169" spans="1:2" x14ac:dyDescent="0.25">
      <c r="A169" s="5">
        <v>4</v>
      </c>
    </row>
    <row r="170" spans="1:2" x14ac:dyDescent="0.25">
      <c r="A170" s="5">
        <v>4</v>
      </c>
    </row>
    <row r="171" spans="1:2" x14ac:dyDescent="0.25">
      <c r="A171" s="5">
        <v>5</v>
      </c>
    </row>
    <row r="172" spans="1:2" x14ac:dyDescent="0.25">
      <c r="A172" s="5">
        <v>6</v>
      </c>
    </row>
    <row r="173" spans="1:2" x14ac:dyDescent="0.25">
      <c r="A173" s="5">
        <v>7</v>
      </c>
    </row>
    <row r="174" spans="1:2" x14ac:dyDescent="0.25">
      <c r="A174" s="5">
        <v>8</v>
      </c>
    </row>
    <row r="175" spans="1:2" x14ac:dyDescent="0.25">
      <c r="A175" s="5">
        <v>9</v>
      </c>
    </row>
    <row r="177" spans="1:11" x14ac:dyDescent="0.25">
      <c r="A177" t="s">
        <v>197</v>
      </c>
    </row>
    <row r="179" spans="1:11" x14ac:dyDescent="0.25">
      <c r="A179" s="2" t="s">
        <v>198</v>
      </c>
      <c r="B179" s="2" t="s">
        <v>258</v>
      </c>
      <c r="C179">
        <v>1</v>
      </c>
    </row>
    <row r="180" spans="1:11" x14ac:dyDescent="0.25">
      <c r="A180" s="2" t="s">
        <v>199</v>
      </c>
      <c r="B180" s="26" t="s">
        <v>258</v>
      </c>
    </row>
    <row r="181" spans="1:11" x14ac:dyDescent="0.25">
      <c r="A181" s="2" t="s">
        <v>200</v>
      </c>
      <c r="B181" s="2" t="s">
        <v>258</v>
      </c>
    </row>
    <row r="182" spans="1:11" x14ac:dyDescent="0.25">
      <c r="A182" s="2" t="s">
        <v>201</v>
      </c>
      <c r="B182" s="2" t="s">
        <v>258</v>
      </c>
    </row>
    <row r="184" spans="1:11" x14ac:dyDescent="0.25">
      <c r="A184" t="s">
        <v>243</v>
      </c>
    </row>
    <row r="185" spans="1:11" x14ac:dyDescent="0.25">
      <c r="A185" t="s">
        <v>244</v>
      </c>
    </row>
    <row r="186" spans="1:11" x14ac:dyDescent="0.25">
      <c r="A186" t="s">
        <v>245</v>
      </c>
    </row>
    <row r="189" spans="1:11" x14ac:dyDescent="0.25">
      <c r="A189" s="7" t="s">
        <v>202</v>
      </c>
      <c r="B189" s="7" t="s">
        <v>246</v>
      </c>
      <c r="C189" s="7" t="s">
        <v>203</v>
      </c>
      <c r="D189" s="7" t="s">
        <v>204</v>
      </c>
      <c r="E189" s="27" t="s">
        <v>205</v>
      </c>
      <c r="F189" s="27" t="s">
        <v>206</v>
      </c>
      <c r="G189" s="27" t="s">
        <v>207</v>
      </c>
      <c r="H189" s="27" t="s">
        <v>208</v>
      </c>
      <c r="I189" s="27" t="s">
        <v>209</v>
      </c>
      <c r="J189" s="7" t="s">
        <v>210</v>
      </c>
      <c r="K189">
        <v>1</v>
      </c>
    </row>
    <row r="190" spans="1:11" hidden="1" x14ac:dyDescent="0.25">
      <c r="A190" s="7" t="s">
        <v>211</v>
      </c>
      <c r="B190" s="7" t="s">
        <v>212</v>
      </c>
      <c r="C190" s="7" t="s">
        <v>213</v>
      </c>
      <c r="D190" s="7">
        <v>1618.5</v>
      </c>
      <c r="E190" s="27">
        <v>3</v>
      </c>
      <c r="F190" s="27">
        <v>20</v>
      </c>
      <c r="G190" s="27">
        <v>32370</v>
      </c>
      <c r="H190" s="27">
        <v>32370</v>
      </c>
      <c r="I190" s="27">
        <v>16185</v>
      </c>
      <c r="J190" s="7" t="s">
        <v>214</v>
      </c>
    </row>
    <row r="191" spans="1:11" hidden="1" x14ac:dyDescent="0.25">
      <c r="A191" s="7" t="s">
        <v>211</v>
      </c>
      <c r="B191" s="7" t="s">
        <v>215</v>
      </c>
      <c r="C191" s="7" t="s">
        <v>213</v>
      </c>
      <c r="D191" s="7">
        <v>1321</v>
      </c>
      <c r="E191" s="27">
        <v>3</v>
      </c>
      <c r="F191" s="27">
        <v>20</v>
      </c>
      <c r="G191" s="27">
        <v>26420</v>
      </c>
      <c r="H191" s="27">
        <v>26420</v>
      </c>
      <c r="I191" s="27">
        <v>13210</v>
      </c>
      <c r="J191" s="7" t="s">
        <v>214</v>
      </c>
    </row>
    <row r="192" spans="1:11" hidden="1" x14ac:dyDescent="0.25">
      <c r="A192" s="7" t="s">
        <v>216</v>
      </c>
      <c r="B192" s="7" t="s">
        <v>217</v>
      </c>
      <c r="C192" s="7" t="s">
        <v>213</v>
      </c>
      <c r="D192" s="7">
        <v>2178</v>
      </c>
      <c r="E192" s="27">
        <v>3</v>
      </c>
      <c r="F192" s="27">
        <v>15</v>
      </c>
      <c r="G192" s="27">
        <v>32670</v>
      </c>
      <c r="H192" s="27">
        <v>32670</v>
      </c>
      <c r="I192" s="27">
        <v>10890</v>
      </c>
      <c r="J192" s="7" t="s">
        <v>218</v>
      </c>
    </row>
    <row r="193" spans="1:10" hidden="1" x14ac:dyDescent="0.25">
      <c r="A193" s="7" t="s">
        <v>216</v>
      </c>
      <c r="B193" s="7" t="s">
        <v>215</v>
      </c>
      <c r="C193" s="7" t="s">
        <v>213</v>
      </c>
      <c r="D193" s="7">
        <v>888</v>
      </c>
      <c r="E193" s="27">
        <v>3</v>
      </c>
      <c r="F193" s="27">
        <v>15</v>
      </c>
      <c r="G193" s="27">
        <v>13320</v>
      </c>
      <c r="H193" s="27">
        <v>13320</v>
      </c>
      <c r="I193" s="27">
        <v>4440</v>
      </c>
      <c r="J193" s="7" t="s">
        <v>218</v>
      </c>
    </row>
    <row r="194" spans="1:10" hidden="1" x14ac:dyDescent="0.25">
      <c r="A194" s="7" t="s">
        <v>216</v>
      </c>
      <c r="B194" s="7" t="s">
        <v>219</v>
      </c>
      <c r="C194" s="7" t="s">
        <v>213</v>
      </c>
      <c r="D194" s="7">
        <v>2470</v>
      </c>
      <c r="E194" s="27">
        <v>3</v>
      </c>
      <c r="F194" s="27">
        <v>15</v>
      </c>
      <c r="G194" s="27">
        <v>37050</v>
      </c>
      <c r="H194" s="27">
        <v>37050</v>
      </c>
      <c r="I194" s="27">
        <v>12350</v>
      </c>
      <c r="J194" s="7" t="s">
        <v>218</v>
      </c>
    </row>
    <row r="195" spans="1:10" hidden="1" x14ac:dyDescent="0.25">
      <c r="A195" s="7" t="s">
        <v>211</v>
      </c>
      <c r="B195" s="7" t="s">
        <v>215</v>
      </c>
      <c r="C195" s="7" t="s">
        <v>213</v>
      </c>
      <c r="D195" s="7">
        <v>1513</v>
      </c>
      <c r="E195" s="27">
        <v>3</v>
      </c>
      <c r="F195" s="27">
        <v>350</v>
      </c>
      <c r="G195" s="27">
        <v>529550</v>
      </c>
      <c r="H195" s="27">
        <v>529550</v>
      </c>
      <c r="I195" s="27">
        <v>136170</v>
      </c>
      <c r="J195" s="7" t="s">
        <v>220</v>
      </c>
    </row>
    <row r="196" spans="1:10" hidden="1" x14ac:dyDescent="0.25">
      <c r="A196" s="7" t="s">
        <v>216</v>
      </c>
      <c r="B196" s="7" t="s">
        <v>215</v>
      </c>
      <c r="C196" s="7" t="s">
        <v>221</v>
      </c>
      <c r="D196" s="7">
        <v>921</v>
      </c>
      <c r="E196" s="27">
        <v>5</v>
      </c>
      <c r="F196" s="27">
        <v>15</v>
      </c>
      <c r="G196" s="27">
        <v>13815</v>
      </c>
      <c r="H196" s="27">
        <v>13815</v>
      </c>
      <c r="I196" s="27">
        <v>4605</v>
      </c>
      <c r="J196" s="7" t="s">
        <v>222</v>
      </c>
    </row>
    <row r="197" spans="1:10" hidden="1" x14ac:dyDescent="0.25">
      <c r="A197" s="7" t="s">
        <v>223</v>
      </c>
      <c r="B197" s="7" t="s">
        <v>212</v>
      </c>
      <c r="C197" s="7" t="s">
        <v>221</v>
      </c>
      <c r="D197" s="7">
        <v>2518</v>
      </c>
      <c r="E197" s="27">
        <v>5</v>
      </c>
      <c r="F197" s="27">
        <v>12</v>
      </c>
      <c r="G197" s="27">
        <v>30216</v>
      </c>
      <c r="H197" s="27">
        <v>30216</v>
      </c>
      <c r="I197" s="27">
        <v>22662</v>
      </c>
      <c r="J197" s="7" t="s">
        <v>218</v>
      </c>
    </row>
    <row r="198" spans="1:10" hidden="1" x14ac:dyDescent="0.25">
      <c r="A198" s="7" t="s">
        <v>211</v>
      </c>
      <c r="B198" s="7" t="s">
        <v>217</v>
      </c>
      <c r="C198" s="7" t="s">
        <v>221</v>
      </c>
      <c r="D198" s="7">
        <v>1899</v>
      </c>
      <c r="E198" s="27">
        <v>5</v>
      </c>
      <c r="F198" s="27">
        <v>20</v>
      </c>
      <c r="G198" s="27">
        <v>37980</v>
      </c>
      <c r="H198" s="27">
        <v>37980</v>
      </c>
      <c r="I198" s="27">
        <v>18990</v>
      </c>
      <c r="J198" s="7" t="s">
        <v>218</v>
      </c>
    </row>
    <row r="199" spans="1:10" hidden="1" x14ac:dyDescent="0.25">
      <c r="A199" s="7" t="s">
        <v>223</v>
      </c>
      <c r="B199" s="7" t="s">
        <v>215</v>
      </c>
      <c r="C199" s="7" t="s">
        <v>221</v>
      </c>
      <c r="D199" s="7">
        <v>1545</v>
      </c>
      <c r="E199" s="27">
        <v>5</v>
      </c>
      <c r="F199" s="27">
        <v>12</v>
      </c>
      <c r="G199" s="27">
        <v>18540</v>
      </c>
      <c r="H199" s="27">
        <v>18540</v>
      </c>
      <c r="I199" s="27">
        <v>13905</v>
      </c>
      <c r="J199" s="7" t="s">
        <v>218</v>
      </c>
    </row>
    <row r="200" spans="1:10" hidden="1" x14ac:dyDescent="0.25">
      <c r="A200" s="7" t="s">
        <v>216</v>
      </c>
      <c r="B200" s="7" t="s">
        <v>219</v>
      </c>
      <c r="C200" s="7" t="s">
        <v>221</v>
      </c>
      <c r="D200" s="7">
        <v>2470</v>
      </c>
      <c r="E200" s="27">
        <v>5</v>
      </c>
      <c r="F200" s="27">
        <v>15</v>
      </c>
      <c r="G200" s="27">
        <v>37050</v>
      </c>
      <c r="H200" s="27">
        <v>37050</v>
      </c>
      <c r="I200" s="27">
        <v>12350</v>
      </c>
      <c r="J200" s="7" t="s">
        <v>218</v>
      </c>
    </row>
    <row r="201" spans="1:10" hidden="1" x14ac:dyDescent="0.25">
      <c r="A201" s="7" t="s">
        <v>224</v>
      </c>
      <c r="B201" s="7" t="s">
        <v>212</v>
      </c>
      <c r="C201" s="7" t="s">
        <v>221</v>
      </c>
      <c r="D201" s="7">
        <v>2665.5</v>
      </c>
      <c r="E201" s="27">
        <v>5</v>
      </c>
      <c r="F201" s="27">
        <v>125</v>
      </c>
      <c r="G201" s="27">
        <v>333187.5</v>
      </c>
      <c r="H201" s="27">
        <v>333187.5</v>
      </c>
      <c r="I201" s="27">
        <v>13327.5</v>
      </c>
      <c r="J201" s="7" t="s">
        <v>225</v>
      </c>
    </row>
    <row r="202" spans="1:10" hidden="1" x14ac:dyDescent="0.25">
      <c r="A202" s="7" t="s">
        <v>226</v>
      </c>
      <c r="B202" s="7" t="s">
        <v>219</v>
      </c>
      <c r="C202" s="7" t="s">
        <v>221</v>
      </c>
      <c r="D202" s="7">
        <v>958</v>
      </c>
      <c r="E202" s="27">
        <v>5</v>
      </c>
      <c r="F202" s="27">
        <v>300</v>
      </c>
      <c r="G202" s="27">
        <v>287400</v>
      </c>
      <c r="H202" s="27">
        <v>287400</v>
      </c>
      <c r="I202" s="27">
        <v>47900</v>
      </c>
      <c r="J202" s="7" t="s">
        <v>227</v>
      </c>
    </row>
    <row r="203" spans="1:10" hidden="1" x14ac:dyDescent="0.25">
      <c r="A203" s="7" t="s">
        <v>211</v>
      </c>
      <c r="B203" s="7" t="s">
        <v>215</v>
      </c>
      <c r="C203" s="7" t="s">
        <v>221</v>
      </c>
      <c r="D203" s="7">
        <v>2146</v>
      </c>
      <c r="E203" s="27">
        <v>5</v>
      </c>
      <c r="F203" s="27">
        <v>7</v>
      </c>
      <c r="G203" s="27">
        <v>15022</v>
      </c>
      <c r="H203" s="27">
        <v>15022</v>
      </c>
      <c r="I203" s="27">
        <v>4292</v>
      </c>
      <c r="J203" s="7" t="s">
        <v>228</v>
      </c>
    </row>
    <row r="204" spans="1:10" hidden="1" x14ac:dyDescent="0.25">
      <c r="A204" s="7" t="s">
        <v>224</v>
      </c>
      <c r="B204" s="7" t="s">
        <v>212</v>
      </c>
      <c r="C204" s="7" t="s">
        <v>221</v>
      </c>
      <c r="D204" s="7">
        <v>345</v>
      </c>
      <c r="E204" s="27">
        <v>5</v>
      </c>
      <c r="F204" s="27">
        <v>125</v>
      </c>
      <c r="G204" s="27">
        <v>43125</v>
      </c>
      <c r="H204" s="27">
        <v>43125</v>
      </c>
      <c r="I204" s="27">
        <v>1725</v>
      </c>
      <c r="J204" s="7" t="s">
        <v>229</v>
      </c>
    </row>
    <row r="205" spans="1:10" x14ac:dyDescent="0.25">
      <c r="A205" s="7" t="s">
        <v>216</v>
      </c>
      <c r="B205" s="7" t="s">
        <v>230</v>
      </c>
      <c r="C205" s="7" t="s">
        <v>221</v>
      </c>
      <c r="D205" s="7">
        <v>615</v>
      </c>
      <c r="E205" s="27">
        <v>5</v>
      </c>
      <c r="F205" s="27">
        <v>15</v>
      </c>
      <c r="G205" s="27">
        <v>9225</v>
      </c>
      <c r="H205" s="27">
        <v>9225</v>
      </c>
      <c r="I205" s="27">
        <v>3075</v>
      </c>
      <c r="J205" s="7" t="s">
        <v>220</v>
      </c>
    </row>
    <row r="206" spans="1:10" hidden="1" x14ac:dyDescent="0.25">
      <c r="A206" s="7" t="s">
        <v>211</v>
      </c>
      <c r="B206" s="7" t="s">
        <v>212</v>
      </c>
      <c r="C206" s="7" t="s">
        <v>231</v>
      </c>
      <c r="D206" s="7">
        <v>292</v>
      </c>
      <c r="E206" s="27">
        <v>10</v>
      </c>
      <c r="F206" s="27">
        <v>20</v>
      </c>
      <c r="G206" s="27">
        <v>5840</v>
      </c>
      <c r="H206" s="27">
        <v>5840</v>
      </c>
      <c r="I206" s="27">
        <v>2920</v>
      </c>
      <c r="J206" s="7" t="s">
        <v>232</v>
      </c>
    </row>
    <row r="207" spans="1:10" hidden="1" x14ac:dyDescent="0.25">
      <c r="A207" s="7" t="s">
        <v>216</v>
      </c>
      <c r="B207" s="7" t="s">
        <v>219</v>
      </c>
      <c r="C207" s="7" t="s">
        <v>231</v>
      </c>
      <c r="D207" s="7">
        <v>974</v>
      </c>
      <c r="E207" s="27">
        <v>10</v>
      </c>
      <c r="F207" s="27">
        <v>15</v>
      </c>
      <c r="G207" s="27">
        <v>14610</v>
      </c>
      <c r="H207" s="27">
        <v>14610</v>
      </c>
      <c r="I207" s="27">
        <v>4870</v>
      </c>
      <c r="J207" s="7" t="s">
        <v>232</v>
      </c>
    </row>
    <row r="208" spans="1:10" hidden="1" x14ac:dyDescent="0.25">
      <c r="A208" s="7" t="s">
        <v>223</v>
      </c>
      <c r="B208" s="7" t="s">
        <v>212</v>
      </c>
      <c r="C208" s="7" t="s">
        <v>231</v>
      </c>
      <c r="D208" s="7">
        <v>2518</v>
      </c>
      <c r="E208" s="27">
        <v>10</v>
      </c>
      <c r="F208" s="27">
        <v>12</v>
      </c>
      <c r="G208" s="27">
        <v>30216</v>
      </c>
      <c r="H208" s="27">
        <v>30216</v>
      </c>
      <c r="I208" s="27">
        <v>22662</v>
      </c>
      <c r="J208" s="7" t="s">
        <v>218</v>
      </c>
    </row>
    <row r="209" spans="1:10" hidden="1" x14ac:dyDescent="0.25">
      <c r="A209" s="7" t="s">
        <v>211</v>
      </c>
      <c r="B209" s="7" t="s">
        <v>215</v>
      </c>
      <c r="C209" s="7" t="s">
        <v>231</v>
      </c>
      <c r="D209" s="7">
        <v>1006</v>
      </c>
      <c r="E209" s="27">
        <v>10</v>
      </c>
      <c r="F209" s="27">
        <v>350</v>
      </c>
      <c r="G209" s="27">
        <v>352100</v>
      </c>
      <c r="H209" s="27">
        <v>352100</v>
      </c>
      <c r="I209" s="27">
        <v>90540</v>
      </c>
      <c r="J209" s="7" t="s">
        <v>218</v>
      </c>
    </row>
    <row r="210" spans="1:10" hidden="1" x14ac:dyDescent="0.25">
      <c r="A210" s="7" t="s">
        <v>223</v>
      </c>
      <c r="B210" s="7" t="s">
        <v>215</v>
      </c>
      <c r="C210" s="7" t="s">
        <v>231</v>
      </c>
      <c r="D210" s="7">
        <v>367</v>
      </c>
      <c r="E210" s="27">
        <v>10</v>
      </c>
      <c r="F210" s="27">
        <v>12</v>
      </c>
      <c r="G210" s="27">
        <v>4404</v>
      </c>
      <c r="H210" s="27">
        <v>4404</v>
      </c>
      <c r="I210" s="27">
        <v>3303</v>
      </c>
      <c r="J210" s="7" t="s">
        <v>225</v>
      </c>
    </row>
    <row r="211" spans="1:10" hidden="1" x14ac:dyDescent="0.25">
      <c r="A211" s="7" t="s">
        <v>211</v>
      </c>
      <c r="B211" s="7" t="s">
        <v>219</v>
      </c>
      <c r="C211" s="7" t="s">
        <v>231</v>
      </c>
      <c r="D211" s="7">
        <v>883</v>
      </c>
      <c r="E211" s="27">
        <v>10</v>
      </c>
      <c r="F211" s="27">
        <v>7</v>
      </c>
      <c r="G211" s="27">
        <v>6181</v>
      </c>
      <c r="H211" s="27">
        <v>6181</v>
      </c>
      <c r="I211" s="27">
        <v>1766</v>
      </c>
      <c r="J211" s="7" t="s">
        <v>227</v>
      </c>
    </row>
    <row r="212" spans="1:10" hidden="1" x14ac:dyDescent="0.25">
      <c r="A212" s="7" t="s">
        <v>216</v>
      </c>
      <c r="B212" s="7" t="s">
        <v>217</v>
      </c>
      <c r="C212" s="7" t="s">
        <v>231</v>
      </c>
      <c r="D212" s="7">
        <v>549</v>
      </c>
      <c r="E212" s="27">
        <v>10</v>
      </c>
      <c r="F212" s="27">
        <v>15</v>
      </c>
      <c r="G212" s="27">
        <v>8235</v>
      </c>
      <c r="H212" s="27">
        <v>8235</v>
      </c>
      <c r="I212" s="27">
        <v>2745</v>
      </c>
      <c r="J212" s="7" t="s">
        <v>233</v>
      </c>
    </row>
    <row r="213" spans="1:10" hidden="1" x14ac:dyDescent="0.25">
      <c r="A213" s="7" t="s">
        <v>226</v>
      </c>
      <c r="B213" s="7" t="s">
        <v>219</v>
      </c>
      <c r="C213" s="7" t="s">
        <v>231</v>
      </c>
      <c r="D213" s="7">
        <v>788</v>
      </c>
      <c r="E213" s="27">
        <v>10</v>
      </c>
      <c r="F213" s="27">
        <v>300</v>
      </c>
      <c r="G213" s="27">
        <v>236400</v>
      </c>
      <c r="H213" s="27">
        <v>236400</v>
      </c>
      <c r="I213" s="27">
        <v>39400</v>
      </c>
      <c r="J213" s="7" t="s">
        <v>233</v>
      </c>
    </row>
    <row r="214" spans="1:10" hidden="1" x14ac:dyDescent="0.25">
      <c r="A214" s="7" t="s">
        <v>216</v>
      </c>
      <c r="B214" s="7" t="s">
        <v>219</v>
      </c>
      <c r="C214" s="7" t="s">
        <v>231</v>
      </c>
      <c r="D214" s="7">
        <v>2472</v>
      </c>
      <c r="E214" s="27">
        <v>10</v>
      </c>
      <c r="F214" s="27">
        <v>15</v>
      </c>
      <c r="G214" s="27">
        <v>37080</v>
      </c>
      <c r="H214" s="27">
        <v>37080</v>
      </c>
      <c r="I214" s="27">
        <v>12360</v>
      </c>
      <c r="J214" s="7" t="s">
        <v>228</v>
      </c>
    </row>
    <row r="215" spans="1:10" x14ac:dyDescent="0.25">
      <c r="A215" s="7" t="s">
        <v>211</v>
      </c>
      <c r="B215" s="7" t="s">
        <v>230</v>
      </c>
      <c r="C215" s="7" t="s">
        <v>231</v>
      </c>
      <c r="D215" s="7">
        <v>1143</v>
      </c>
      <c r="E215" s="27">
        <v>10</v>
      </c>
      <c r="F215" s="27">
        <v>7</v>
      </c>
      <c r="G215" s="27">
        <v>8001</v>
      </c>
      <c r="H215" s="27">
        <v>8001</v>
      </c>
      <c r="I215" s="27">
        <v>2286</v>
      </c>
      <c r="J215" s="7" t="s">
        <v>234</v>
      </c>
    </row>
    <row r="216" spans="1:10" hidden="1" x14ac:dyDescent="0.25">
      <c r="A216" s="7" t="s">
        <v>211</v>
      </c>
      <c r="B216" s="7" t="s">
        <v>212</v>
      </c>
      <c r="C216" s="7" t="s">
        <v>231</v>
      </c>
      <c r="D216" s="7">
        <v>1725</v>
      </c>
      <c r="E216" s="27">
        <v>10</v>
      </c>
      <c r="F216" s="27">
        <v>350</v>
      </c>
      <c r="G216" s="27">
        <v>603750</v>
      </c>
      <c r="H216" s="27">
        <v>603750</v>
      </c>
      <c r="I216" s="27">
        <v>155250</v>
      </c>
      <c r="J216" s="7" t="s">
        <v>235</v>
      </c>
    </row>
    <row r="217" spans="1:10" x14ac:dyDescent="0.25">
      <c r="A217" s="7" t="s">
        <v>223</v>
      </c>
      <c r="B217" s="7" t="s">
        <v>230</v>
      </c>
      <c r="C217" s="7" t="s">
        <v>231</v>
      </c>
      <c r="D217" s="7">
        <v>912</v>
      </c>
      <c r="E217" s="27">
        <v>10</v>
      </c>
      <c r="F217" s="27">
        <v>12</v>
      </c>
      <c r="G217" s="27">
        <v>10944</v>
      </c>
      <c r="H217" s="27">
        <v>10944</v>
      </c>
      <c r="I217" s="27">
        <v>8208</v>
      </c>
      <c r="J217" s="7" t="s">
        <v>235</v>
      </c>
    </row>
    <row r="218" spans="1:10" hidden="1" x14ac:dyDescent="0.25">
      <c r="A218" s="7" t="s">
        <v>216</v>
      </c>
      <c r="B218" s="7" t="s">
        <v>212</v>
      </c>
      <c r="C218" s="7" t="s">
        <v>231</v>
      </c>
      <c r="D218" s="7">
        <v>2152</v>
      </c>
      <c r="E218" s="27">
        <v>10</v>
      </c>
      <c r="F218" s="27">
        <v>15</v>
      </c>
      <c r="G218" s="27">
        <v>32280</v>
      </c>
      <c r="H218" s="27">
        <v>32280</v>
      </c>
      <c r="I218" s="27">
        <v>10760</v>
      </c>
      <c r="J218" s="7" t="s">
        <v>236</v>
      </c>
    </row>
    <row r="219" spans="1:10" hidden="1" x14ac:dyDescent="0.25">
      <c r="A219" s="7" t="s">
        <v>211</v>
      </c>
      <c r="B219" s="7" t="s">
        <v>212</v>
      </c>
      <c r="C219" s="7" t="s">
        <v>231</v>
      </c>
      <c r="D219" s="7">
        <v>1817</v>
      </c>
      <c r="E219" s="27">
        <v>10</v>
      </c>
      <c r="F219" s="27">
        <v>20</v>
      </c>
      <c r="G219" s="27">
        <v>36340</v>
      </c>
      <c r="H219" s="27">
        <v>36340</v>
      </c>
      <c r="I219" s="27">
        <v>18170</v>
      </c>
      <c r="J219" s="7" t="s">
        <v>220</v>
      </c>
    </row>
    <row r="220" spans="1:10" hidden="1" x14ac:dyDescent="0.25">
      <c r="A220" s="7" t="s">
        <v>211</v>
      </c>
      <c r="B220" s="7" t="s">
        <v>215</v>
      </c>
      <c r="C220" s="7" t="s">
        <v>231</v>
      </c>
      <c r="D220" s="7">
        <v>1513</v>
      </c>
      <c r="E220" s="27">
        <v>10</v>
      </c>
      <c r="F220" s="27">
        <v>350</v>
      </c>
      <c r="G220" s="27">
        <v>529550</v>
      </c>
      <c r="H220" s="27">
        <v>529550</v>
      </c>
      <c r="I220" s="27">
        <v>136170</v>
      </c>
      <c r="J220" s="7" t="s">
        <v>220</v>
      </c>
    </row>
    <row r="221" spans="1:10" hidden="1" x14ac:dyDescent="0.25">
      <c r="A221" s="7" t="s">
        <v>211</v>
      </c>
      <c r="B221" s="7" t="s">
        <v>219</v>
      </c>
      <c r="C221" s="7" t="s">
        <v>237</v>
      </c>
      <c r="D221" s="7">
        <v>1493</v>
      </c>
      <c r="E221" s="27">
        <v>120</v>
      </c>
      <c r="F221" s="27">
        <v>7</v>
      </c>
      <c r="G221" s="27">
        <v>10451</v>
      </c>
      <c r="H221" s="27">
        <v>10451</v>
      </c>
      <c r="I221" s="27">
        <v>2986</v>
      </c>
      <c r="J221" s="7" t="s">
        <v>214</v>
      </c>
    </row>
    <row r="222" spans="1:10" hidden="1" x14ac:dyDescent="0.25">
      <c r="A222" s="7" t="s">
        <v>224</v>
      </c>
      <c r="B222" s="7" t="s">
        <v>217</v>
      </c>
      <c r="C222" s="7" t="s">
        <v>237</v>
      </c>
      <c r="D222" s="7">
        <v>1804</v>
      </c>
      <c r="E222" s="27">
        <v>120</v>
      </c>
      <c r="F222" s="27">
        <v>125</v>
      </c>
      <c r="G222" s="27">
        <v>225500</v>
      </c>
      <c r="H222" s="27">
        <v>225500</v>
      </c>
      <c r="I222" s="27">
        <v>9020</v>
      </c>
      <c r="J222" s="7" t="s">
        <v>232</v>
      </c>
    </row>
    <row r="223" spans="1:10" hidden="1" x14ac:dyDescent="0.25">
      <c r="A223" s="7" t="s">
        <v>223</v>
      </c>
      <c r="B223" s="7" t="s">
        <v>215</v>
      </c>
      <c r="C223" s="7" t="s">
        <v>237</v>
      </c>
      <c r="D223" s="7">
        <v>2161</v>
      </c>
      <c r="E223" s="27">
        <v>120</v>
      </c>
      <c r="F223" s="27">
        <v>12</v>
      </c>
      <c r="G223" s="27">
        <v>25932</v>
      </c>
      <c r="H223" s="27">
        <v>25932</v>
      </c>
      <c r="I223" s="27">
        <v>19449</v>
      </c>
      <c r="J223" s="7" t="s">
        <v>222</v>
      </c>
    </row>
    <row r="224" spans="1:10" hidden="1" x14ac:dyDescent="0.25">
      <c r="A224" s="7" t="s">
        <v>211</v>
      </c>
      <c r="B224" s="7" t="s">
        <v>215</v>
      </c>
      <c r="C224" s="7" t="s">
        <v>237</v>
      </c>
      <c r="D224" s="7">
        <v>1006</v>
      </c>
      <c r="E224" s="27">
        <v>120</v>
      </c>
      <c r="F224" s="27">
        <v>350</v>
      </c>
      <c r="G224" s="27">
        <v>352100</v>
      </c>
      <c r="H224" s="27">
        <v>352100</v>
      </c>
      <c r="I224" s="27">
        <v>90540</v>
      </c>
      <c r="J224" s="7" t="s">
        <v>218</v>
      </c>
    </row>
    <row r="225" spans="1:10" hidden="1" x14ac:dyDescent="0.25">
      <c r="A225" s="7" t="s">
        <v>223</v>
      </c>
      <c r="B225" s="7" t="s">
        <v>215</v>
      </c>
      <c r="C225" s="7" t="s">
        <v>237</v>
      </c>
      <c r="D225" s="7">
        <v>1545</v>
      </c>
      <c r="E225" s="27">
        <v>120</v>
      </c>
      <c r="F225" s="27">
        <v>12</v>
      </c>
      <c r="G225" s="27">
        <v>18540</v>
      </c>
      <c r="H225" s="27">
        <v>18540</v>
      </c>
      <c r="I225" s="27">
        <v>13905</v>
      </c>
      <c r="J225" s="7" t="s">
        <v>218</v>
      </c>
    </row>
    <row r="226" spans="1:10" x14ac:dyDescent="0.25">
      <c r="A226" s="7" t="s">
        <v>224</v>
      </c>
      <c r="B226" s="7" t="s">
        <v>230</v>
      </c>
      <c r="C226" s="7" t="s">
        <v>237</v>
      </c>
      <c r="D226" s="7">
        <v>2821</v>
      </c>
      <c r="E226" s="27">
        <v>120</v>
      </c>
      <c r="F226" s="27">
        <v>125</v>
      </c>
      <c r="G226" s="27">
        <v>352625</v>
      </c>
      <c r="H226" s="27">
        <v>352625</v>
      </c>
      <c r="I226" s="27">
        <v>14105</v>
      </c>
      <c r="J226" s="7" t="s">
        <v>227</v>
      </c>
    </row>
    <row r="227" spans="1:10" hidden="1" x14ac:dyDescent="0.25">
      <c r="A227" s="7" t="s">
        <v>224</v>
      </c>
      <c r="B227" s="7" t="s">
        <v>212</v>
      </c>
      <c r="C227" s="7" t="s">
        <v>237</v>
      </c>
      <c r="D227" s="7">
        <v>345</v>
      </c>
      <c r="E227" s="27">
        <v>120</v>
      </c>
      <c r="F227" s="27">
        <v>125</v>
      </c>
      <c r="G227" s="27">
        <v>43125</v>
      </c>
      <c r="H227" s="27">
        <v>43125</v>
      </c>
      <c r="I227" s="27">
        <v>1725</v>
      </c>
      <c r="J227" s="7" t="s">
        <v>229</v>
      </c>
    </row>
    <row r="228" spans="1:10" hidden="1" x14ac:dyDescent="0.25">
      <c r="A228" s="7" t="s">
        <v>226</v>
      </c>
      <c r="B228" s="7" t="s">
        <v>212</v>
      </c>
      <c r="C228" s="7" t="s">
        <v>238</v>
      </c>
      <c r="D228" s="7">
        <v>2001</v>
      </c>
      <c r="E228" s="27">
        <v>250</v>
      </c>
      <c r="F228" s="27">
        <v>300</v>
      </c>
      <c r="G228" s="27">
        <v>600300</v>
      </c>
      <c r="H228" s="27">
        <v>600300</v>
      </c>
      <c r="I228" s="27">
        <v>100050</v>
      </c>
      <c r="J228" s="7" t="s">
        <v>232</v>
      </c>
    </row>
    <row r="229" spans="1:10" hidden="1" x14ac:dyDescent="0.25">
      <c r="A229" s="7" t="s">
        <v>223</v>
      </c>
      <c r="B229" s="7" t="s">
        <v>215</v>
      </c>
      <c r="C229" s="7" t="s">
        <v>238</v>
      </c>
      <c r="D229" s="7">
        <v>2838</v>
      </c>
      <c r="E229" s="27">
        <v>250</v>
      </c>
      <c r="F229" s="27">
        <v>12</v>
      </c>
      <c r="G229" s="27">
        <v>34056</v>
      </c>
      <c r="H229" s="27">
        <v>34056</v>
      </c>
      <c r="I229" s="27">
        <v>25542</v>
      </c>
      <c r="J229" s="7" t="s">
        <v>239</v>
      </c>
    </row>
    <row r="230" spans="1:10" hidden="1" x14ac:dyDescent="0.25">
      <c r="A230" s="7" t="s">
        <v>216</v>
      </c>
      <c r="B230" s="7" t="s">
        <v>217</v>
      </c>
      <c r="C230" s="7" t="s">
        <v>238</v>
      </c>
      <c r="D230" s="7">
        <v>2178</v>
      </c>
      <c r="E230" s="27">
        <v>250</v>
      </c>
      <c r="F230" s="27">
        <v>15</v>
      </c>
      <c r="G230" s="27">
        <v>32670</v>
      </c>
      <c r="H230" s="27">
        <v>32670</v>
      </c>
      <c r="I230" s="27">
        <v>10890</v>
      </c>
      <c r="J230" s="7" t="s">
        <v>218</v>
      </c>
    </row>
    <row r="231" spans="1:10" hidden="1" x14ac:dyDescent="0.25">
      <c r="A231" s="7" t="s">
        <v>216</v>
      </c>
      <c r="B231" s="7" t="s">
        <v>215</v>
      </c>
      <c r="C231" s="7" t="s">
        <v>238</v>
      </c>
      <c r="D231" s="7">
        <v>888</v>
      </c>
      <c r="E231" s="27">
        <v>250</v>
      </c>
      <c r="F231" s="27">
        <v>15</v>
      </c>
      <c r="G231" s="27">
        <v>13320</v>
      </c>
      <c r="H231" s="27">
        <v>13320</v>
      </c>
      <c r="I231" s="27">
        <v>4440</v>
      </c>
      <c r="J231" s="7" t="s">
        <v>218</v>
      </c>
    </row>
    <row r="232" spans="1:10" hidden="1" x14ac:dyDescent="0.25">
      <c r="A232" s="7" t="s">
        <v>211</v>
      </c>
      <c r="B232" s="7" t="s">
        <v>217</v>
      </c>
      <c r="C232" s="7" t="s">
        <v>238</v>
      </c>
      <c r="D232" s="7">
        <v>1527</v>
      </c>
      <c r="E232" s="27">
        <v>250</v>
      </c>
      <c r="F232" s="27">
        <v>350</v>
      </c>
      <c r="G232" s="27">
        <v>534450</v>
      </c>
      <c r="H232" s="27">
        <v>534450</v>
      </c>
      <c r="I232" s="27">
        <v>137430</v>
      </c>
      <c r="J232" s="7" t="s">
        <v>233</v>
      </c>
    </row>
    <row r="233" spans="1:10" hidden="1" x14ac:dyDescent="0.25">
      <c r="A233" s="7" t="s">
        <v>226</v>
      </c>
      <c r="B233" s="7" t="s">
        <v>217</v>
      </c>
      <c r="C233" s="7" t="s">
        <v>238</v>
      </c>
      <c r="D233" s="7">
        <v>2151</v>
      </c>
      <c r="E233" s="27">
        <v>250</v>
      </c>
      <c r="F233" s="27">
        <v>300</v>
      </c>
      <c r="G233" s="27">
        <v>645300</v>
      </c>
      <c r="H233" s="27">
        <v>645300</v>
      </c>
      <c r="I233" s="27">
        <v>107550</v>
      </c>
      <c r="J233" s="7" t="s">
        <v>228</v>
      </c>
    </row>
    <row r="234" spans="1:10" hidden="1" x14ac:dyDescent="0.25">
      <c r="A234" s="7" t="s">
        <v>211</v>
      </c>
      <c r="B234" s="7" t="s">
        <v>212</v>
      </c>
      <c r="C234" s="7" t="s">
        <v>238</v>
      </c>
      <c r="D234" s="7">
        <v>1817</v>
      </c>
      <c r="E234" s="27">
        <v>250</v>
      </c>
      <c r="F234" s="27">
        <v>20</v>
      </c>
      <c r="G234" s="27">
        <v>36340</v>
      </c>
      <c r="H234" s="27">
        <v>36340</v>
      </c>
      <c r="I234" s="27">
        <v>18170</v>
      </c>
      <c r="J234" s="7" t="s">
        <v>220</v>
      </c>
    </row>
    <row r="235" spans="1:10" hidden="1" x14ac:dyDescent="0.25">
      <c r="A235" s="7" t="s">
        <v>211</v>
      </c>
      <c r="B235" s="7" t="s">
        <v>217</v>
      </c>
      <c r="C235" s="7" t="s">
        <v>240</v>
      </c>
      <c r="D235" s="7">
        <v>2750</v>
      </c>
      <c r="E235" s="27">
        <v>260</v>
      </c>
      <c r="F235" s="27">
        <v>350</v>
      </c>
      <c r="G235" s="27">
        <v>962500</v>
      </c>
      <c r="H235" s="27">
        <v>962500</v>
      </c>
      <c r="I235" s="27">
        <v>247500</v>
      </c>
      <c r="J235" s="7" t="s">
        <v>232</v>
      </c>
    </row>
    <row r="236" spans="1:10" x14ac:dyDescent="0.25">
      <c r="A236" s="7" t="s">
        <v>223</v>
      </c>
      <c r="B236" s="7" t="s">
        <v>230</v>
      </c>
      <c r="C236" s="7" t="s">
        <v>240</v>
      </c>
      <c r="D236" s="7">
        <v>1953</v>
      </c>
      <c r="E236" s="27">
        <v>260</v>
      </c>
      <c r="F236" s="27">
        <v>12</v>
      </c>
      <c r="G236" s="27">
        <v>23436</v>
      </c>
      <c r="H236" s="27">
        <v>23436</v>
      </c>
      <c r="I236" s="27">
        <v>17577</v>
      </c>
      <c r="J236" s="7" t="s">
        <v>239</v>
      </c>
    </row>
    <row r="237" spans="1:10" hidden="1" x14ac:dyDescent="0.25">
      <c r="A237" s="7" t="s">
        <v>224</v>
      </c>
      <c r="B237" s="7" t="s">
        <v>215</v>
      </c>
      <c r="C237" s="7" t="s">
        <v>240</v>
      </c>
      <c r="D237" s="7">
        <v>4219.5</v>
      </c>
      <c r="E237" s="27">
        <v>260</v>
      </c>
      <c r="F237" s="27">
        <v>125</v>
      </c>
      <c r="G237" s="27">
        <v>527437.5</v>
      </c>
      <c r="H237" s="27">
        <v>527437.5</v>
      </c>
      <c r="I237" s="27">
        <v>21097.5</v>
      </c>
      <c r="J237" s="7" t="s">
        <v>239</v>
      </c>
    </row>
    <row r="238" spans="1:10" hidden="1" x14ac:dyDescent="0.25">
      <c r="A238" s="7" t="s">
        <v>211</v>
      </c>
      <c r="B238" s="7" t="s">
        <v>217</v>
      </c>
      <c r="C238" s="7" t="s">
        <v>240</v>
      </c>
      <c r="D238" s="7">
        <v>1899</v>
      </c>
      <c r="E238" s="27">
        <v>260</v>
      </c>
      <c r="F238" s="27">
        <v>20</v>
      </c>
      <c r="G238" s="27">
        <v>37980</v>
      </c>
      <c r="H238" s="27">
        <v>37980</v>
      </c>
      <c r="I238" s="27">
        <v>18990</v>
      </c>
      <c r="J238" s="7" t="s">
        <v>218</v>
      </c>
    </row>
    <row r="239" spans="1:10" hidden="1" x14ac:dyDescent="0.25">
      <c r="A239" s="7" t="s">
        <v>211</v>
      </c>
      <c r="B239" s="7" t="s">
        <v>215</v>
      </c>
      <c r="C239" s="7" t="s">
        <v>240</v>
      </c>
      <c r="D239" s="7">
        <v>1686</v>
      </c>
      <c r="E239" s="27">
        <v>260</v>
      </c>
      <c r="F239" s="27">
        <v>7</v>
      </c>
      <c r="G239" s="27">
        <v>11802</v>
      </c>
      <c r="H239" s="27">
        <v>11802</v>
      </c>
      <c r="I239" s="27">
        <v>3372</v>
      </c>
      <c r="J239" s="7" t="s">
        <v>225</v>
      </c>
    </row>
    <row r="240" spans="1:10" x14ac:dyDescent="0.25">
      <c r="A240" s="7" t="s">
        <v>223</v>
      </c>
      <c r="B240" s="7" t="s">
        <v>230</v>
      </c>
      <c r="C240" s="7" t="s">
        <v>240</v>
      </c>
      <c r="D240" s="7">
        <v>2141</v>
      </c>
      <c r="E240" s="27">
        <v>260</v>
      </c>
      <c r="F240" s="27">
        <v>12</v>
      </c>
      <c r="G240" s="27">
        <v>25692</v>
      </c>
      <c r="H240" s="27">
        <v>25692</v>
      </c>
      <c r="I240" s="27">
        <v>19269</v>
      </c>
      <c r="J240" s="7" t="s">
        <v>227</v>
      </c>
    </row>
    <row r="241" spans="1:10" x14ac:dyDescent="0.25">
      <c r="A241" s="7" t="s">
        <v>211</v>
      </c>
      <c r="B241" s="7" t="s">
        <v>230</v>
      </c>
      <c r="C241" s="7" t="s">
        <v>240</v>
      </c>
      <c r="D241" s="7">
        <v>1143</v>
      </c>
      <c r="E241" s="27">
        <v>260</v>
      </c>
      <c r="F241" s="27">
        <v>7</v>
      </c>
      <c r="G241" s="27">
        <v>8001</v>
      </c>
      <c r="H241" s="27">
        <v>8001</v>
      </c>
      <c r="I241" s="27">
        <v>2286</v>
      </c>
      <c r="J241" s="7" t="s">
        <v>234</v>
      </c>
    </row>
    <row r="242" spans="1:10" x14ac:dyDescent="0.25">
      <c r="A242" s="7" t="s">
        <v>216</v>
      </c>
      <c r="B242" s="7" t="s">
        <v>230</v>
      </c>
      <c r="C242" s="7" t="s">
        <v>240</v>
      </c>
      <c r="D242" s="7">
        <v>615</v>
      </c>
      <c r="E242" s="27">
        <v>260</v>
      </c>
      <c r="F242" s="27">
        <v>15</v>
      </c>
      <c r="G242" s="27">
        <v>9225</v>
      </c>
      <c r="H242" s="27">
        <v>9225</v>
      </c>
      <c r="I242" s="27">
        <v>3075</v>
      </c>
      <c r="J242" s="7" t="s">
        <v>220</v>
      </c>
    </row>
    <row r="243" spans="1:10" hidden="1" x14ac:dyDescent="0.25">
      <c r="A243" s="7" t="s">
        <v>211</v>
      </c>
      <c r="B243" s="7" t="s">
        <v>217</v>
      </c>
      <c r="C243" s="7" t="s">
        <v>231</v>
      </c>
      <c r="D243" s="7">
        <v>3945</v>
      </c>
      <c r="E243" s="27">
        <v>10</v>
      </c>
      <c r="F243" s="27">
        <v>7</v>
      </c>
      <c r="G243" s="27">
        <v>27615</v>
      </c>
      <c r="H243" s="27">
        <v>27338.850000000002</v>
      </c>
      <c r="I243" s="27">
        <v>7613.8500000000022</v>
      </c>
      <c r="J243" s="7" t="s">
        <v>214</v>
      </c>
    </row>
    <row r="244" spans="1:10" hidden="1" x14ac:dyDescent="0.25">
      <c r="A244" s="7" t="s">
        <v>216</v>
      </c>
      <c r="B244" s="7" t="s">
        <v>217</v>
      </c>
      <c r="C244" s="7" t="s">
        <v>231</v>
      </c>
      <c r="D244" s="7">
        <v>2296</v>
      </c>
      <c r="E244" s="27">
        <v>10</v>
      </c>
      <c r="F244" s="27">
        <v>15</v>
      </c>
      <c r="G244" s="27">
        <v>34440</v>
      </c>
      <c r="H244" s="27">
        <v>34095.599999999999</v>
      </c>
      <c r="I244" s="27">
        <v>11135.599999999999</v>
      </c>
      <c r="J244" s="7" t="s">
        <v>232</v>
      </c>
    </row>
    <row r="245" spans="1:10" hidden="1" x14ac:dyDescent="0.25">
      <c r="A245" s="7" t="s">
        <v>211</v>
      </c>
      <c r="B245" s="7" t="s">
        <v>217</v>
      </c>
      <c r="C245" s="7" t="s">
        <v>231</v>
      </c>
      <c r="D245" s="7">
        <v>1030</v>
      </c>
      <c r="E245" s="27">
        <v>10</v>
      </c>
      <c r="F245" s="27">
        <v>7</v>
      </c>
      <c r="G245" s="27">
        <v>7210</v>
      </c>
      <c r="H245" s="27">
        <v>7137.9</v>
      </c>
      <c r="I245" s="27">
        <v>1987.8999999999996</v>
      </c>
      <c r="J245" s="7" t="s">
        <v>241</v>
      </c>
    </row>
    <row r="246" spans="1:10" hidden="1" x14ac:dyDescent="0.25">
      <c r="A246" s="7" t="s">
        <v>211</v>
      </c>
      <c r="B246" s="7" t="s">
        <v>217</v>
      </c>
      <c r="C246" s="7" t="s">
        <v>237</v>
      </c>
      <c r="D246" s="7">
        <v>639</v>
      </c>
      <c r="E246" s="27">
        <v>120</v>
      </c>
      <c r="F246" s="27">
        <v>7</v>
      </c>
      <c r="G246" s="27">
        <v>4473</v>
      </c>
      <c r="H246" s="27">
        <v>4428.2700000000004</v>
      </c>
      <c r="I246" s="27">
        <v>1233.2700000000004</v>
      </c>
      <c r="J246" s="7" t="s">
        <v>242</v>
      </c>
    </row>
    <row r="247" spans="1:10" hidden="1" x14ac:dyDescent="0.25">
      <c r="A247" s="7" t="s">
        <v>211</v>
      </c>
      <c r="B247" s="7" t="s">
        <v>212</v>
      </c>
      <c r="C247" s="7" t="s">
        <v>238</v>
      </c>
      <c r="D247" s="7">
        <v>1326</v>
      </c>
      <c r="E247" s="27">
        <v>250</v>
      </c>
      <c r="F247" s="27">
        <v>7</v>
      </c>
      <c r="G247" s="27">
        <v>9282</v>
      </c>
      <c r="H247" s="27">
        <v>9189.18</v>
      </c>
      <c r="I247" s="27">
        <v>2559.1800000000003</v>
      </c>
      <c r="J247" s="7" t="s">
        <v>222</v>
      </c>
    </row>
    <row r="248" spans="1:10" x14ac:dyDescent="0.25">
      <c r="A248" s="7" t="s">
        <v>223</v>
      </c>
      <c r="B248" s="7" t="s">
        <v>230</v>
      </c>
      <c r="C248" s="7" t="s">
        <v>213</v>
      </c>
      <c r="D248" s="7">
        <v>1858</v>
      </c>
      <c r="E248" s="27">
        <v>3</v>
      </c>
      <c r="F248" s="27">
        <v>12</v>
      </c>
      <c r="G248" s="27">
        <v>22296</v>
      </c>
      <c r="H248" s="27">
        <v>22073.040000000001</v>
      </c>
      <c r="I248" s="27">
        <v>16499.04</v>
      </c>
      <c r="J248" s="7" t="s">
        <v>232</v>
      </c>
    </row>
    <row r="249" spans="1:10" hidden="1" x14ac:dyDescent="0.25">
      <c r="A249" s="7" t="s">
        <v>211</v>
      </c>
      <c r="B249" s="7" t="s">
        <v>219</v>
      </c>
      <c r="C249" s="7" t="s">
        <v>213</v>
      </c>
      <c r="D249" s="7">
        <v>1210</v>
      </c>
      <c r="E249" s="27">
        <v>3</v>
      </c>
      <c r="F249" s="27">
        <v>350</v>
      </c>
      <c r="G249" s="27">
        <v>423500</v>
      </c>
      <c r="H249" s="27">
        <v>419265</v>
      </c>
      <c r="I249" s="27">
        <v>104665</v>
      </c>
      <c r="J249" s="7" t="s">
        <v>222</v>
      </c>
    </row>
    <row r="250" spans="1:10" x14ac:dyDescent="0.25">
      <c r="A250" s="7" t="s">
        <v>211</v>
      </c>
      <c r="B250" s="7" t="s">
        <v>230</v>
      </c>
      <c r="C250" s="7" t="s">
        <v>213</v>
      </c>
      <c r="D250" s="7">
        <v>2529</v>
      </c>
      <c r="E250" s="27">
        <v>3</v>
      </c>
      <c r="F250" s="27">
        <v>7</v>
      </c>
      <c r="G250" s="27">
        <v>17703</v>
      </c>
      <c r="H250" s="27">
        <v>17525.97</v>
      </c>
      <c r="I250" s="27">
        <v>4880.9699999999993</v>
      </c>
      <c r="J250" s="7" t="s">
        <v>225</v>
      </c>
    </row>
    <row r="251" spans="1:10" hidden="1" x14ac:dyDescent="0.25">
      <c r="A251" s="7" t="s">
        <v>223</v>
      </c>
      <c r="B251" s="7" t="s">
        <v>212</v>
      </c>
      <c r="C251" s="7" t="s">
        <v>213</v>
      </c>
      <c r="D251" s="7">
        <v>1445</v>
      </c>
      <c r="E251" s="27">
        <v>3</v>
      </c>
      <c r="F251" s="27">
        <v>12</v>
      </c>
      <c r="G251" s="27">
        <v>17340</v>
      </c>
      <c r="H251" s="27">
        <v>17166.599999999999</v>
      </c>
      <c r="I251" s="27">
        <v>12831.599999999999</v>
      </c>
      <c r="J251" s="7" t="s">
        <v>228</v>
      </c>
    </row>
    <row r="252" spans="1:10" x14ac:dyDescent="0.25">
      <c r="A252" s="7" t="s">
        <v>224</v>
      </c>
      <c r="B252" s="7" t="s">
        <v>230</v>
      </c>
      <c r="C252" s="7" t="s">
        <v>213</v>
      </c>
      <c r="D252" s="7">
        <v>330</v>
      </c>
      <c r="E252" s="27">
        <v>3</v>
      </c>
      <c r="F252" s="27">
        <v>125</v>
      </c>
      <c r="G252" s="27">
        <v>41250</v>
      </c>
      <c r="H252" s="27">
        <v>40837.5</v>
      </c>
      <c r="I252" s="27">
        <v>1237.5</v>
      </c>
      <c r="J252" s="7" t="s">
        <v>233</v>
      </c>
    </row>
    <row r="253" spans="1:10" hidden="1" x14ac:dyDescent="0.25">
      <c r="A253" s="7" t="s">
        <v>223</v>
      </c>
      <c r="B253" s="7" t="s">
        <v>217</v>
      </c>
      <c r="C253" s="7" t="s">
        <v>213</v>
      </c>
      <c r="D253" s="7">
        <v>2671</v>
      </c>
      <c r="E253" s="27">
        <v>3</v>
      </c>
      <c r="F253" s="27">
        <v>12</v>
      </c>
      <c r="G253" s="27">
        <v>32052</v>
      </c>
      <c r="H253" s="27">
        <v>31731.48</v>
      </c>
      <c r="I253" s="27">
        <v>23718.48</v>
      </c>
      <c r="J253" s="7" t="s">
        <v>228</v>
      </c>
    </row>
    <row r="254" spans="1:10" hidden="1" x14ac:dyDescent="0.25">
      <c r="A254" s="7" t="s">
        <v>223</v>
      </c>
      <c r="B254" s="7" t="s">
        <v>215</v>
      </c>
      <c r="C254" s="7" t="s">
        <v>213</v>
      </c>
      <c r="D254" s="7">
        <v>766</v>
      </c>
      <c r="E254" s="27">
        <v>3</v>
      </c>
      <c r="F254" s="27">
        <v>12</v>
      </c>
      <c r="G254" s="27">
        <v>9192</v>
      </c>
      <c r="H254" s="27">
        <v>9100.08</v>
      </c>
      <c r="I254" s="27">
        <v>6802.08</v>
      </c>
      <c r="J254" s="7" t="s">
        <v>229</v>
      </c>
    </row>
    <row r="255" spans="1:10" hidden="1" x14ac:dyDescent="0.25">
      <c r="A255" s="7" t="s">
        <v>226</v>
      </c>
      <c r="B255" s="7" t="s">
        <v>219</v>
      </c>
      <c r="C255" s="7" t="s">
        <v>213</v>
      </c>
      <c r="D255" s="7">
        <v>494</v>
      </c>
      <c r="E255" s="27">
        <v>3</v>
      </c>
      <c r="F255" s="27">
        <v>300</v>
      </c>
      <c r="G255" s="27">
        <v>148200</v>
      </c>
      <c r="H255" s="27">
        <v>146718</v>
      </c>
      <c r="I255" s="27">
        <v>23218</v>
      </c>
      <c r="J255" s="7" t="s">
        <v>229</v>
      </c>
    </row>
    <row r="256" spans="1:10" hidden="1" x14ac:dyDescent="0.25">
      <c r="A256" s="7" t="s">
        <v>211</v>
      </c>
      <c r="B256" s="7" t="s">
        <v>219</v>
      </c>
      <c r="C256" s="7" t="s">
        <v>213</v>
      </c>
      <c r="D256" s="7">
        <v>1397</v>
      </c>
      <c r="E256" s="27">
        <v>3</v>
      </c>
      <c r="F256" s="27">
        <v>350</v>
      </c>
      <c r="G256" s="27">
        <v>488950</v>
      </c>
      <c r="H256" s="27">
        <v>484060.5</v>
      </c>
      <c r="I256" s="27">
        <v>120840.5</v>
      </c>
      <c r="J256" s="7" t="s">
        <v>234</v>
      </c>
    </row>
    <row r="257" spans="1:10" hidden="1" x14ac:dyDescent="0.25">
      <c r="A257" s="7" t="s">
        <v>211</v>
      </c>
      <c r="B257" s="7" t="s">
        <v>217</v>
      </c>
      <c r="C257" s="7" t="s">
        <v>213</v>
      </c>
      <c r="D257" s="7">
        <v>2155</v>
      </c>
      <c r="E257" s="27">
        <v>3</v>
      </c>
      <c r="F257" s="27">
        <v>350</v>
      </c>
      <c r="G257" s="27">
        <v>754250</v>
      </c>
      <c r="H257" s="27">
        <v>746707.5</v>
      </c>
      <c r="I257" s="27">
        <v>186407.5</v>
      </c>
      <c r="J257" s="7" t="s">
        <v>220</v>
      </c>
    </row>
    <row r="258" spans="1:10" hidden="1" x14ac:dyDescent="0.25">
      <c r="A258" s="7" t="s">
        <v>216</v>
      </c>
      <c r="B258" s="7" t="s">
        <v>219</v>
      </c>
      <c r="C258" s="7" t="s">
        <v>221</v>
      </c>
      <c r="D258" s="7">
        <v>2214</v>
      </c>
      <c r="E258" s="27">
        <v>5</v>
      </c>
      <c r="F258" s="27">
        <v>15</v>
      </c>
      <c r="G258" s="27">
        <v>33210</v>
      </c>
      <c r="H258" s="27">
        <v>32877.9</v>
      </c>
      <c r="I258" s="27">
        <v>10737.900000000001</v>
      </c>
      <c r="J258" s="7" t="s">
        <v>222</v>
      </c>
    </row>
    <row r="259" spans="1:10" x14ac:dyDescent="0.25">
      <c r="A259" s="7" t="s">
        <v>226</v>
      </c>
      <c r="B259" s="7" t="s">
        <v>230</v>
      </c>
      <c r="C259" s="7" t="s">
        <v>221</v>
      </c>
      <c r="D259" s="7">
        <v>2301</v>
      </c>
      <c r="E259" s="27">
        <v>5</v>
      </c>
      <c r="F259" s="27">
        <v>300</v>
      </c>
      <c r="G259" s="27">
        <v>690300</v>
      </c>
      <c r="H259" s="27">
        <v>683397</v>
      </c>
      <c r="I259" s="27">
        <v>108147</v>
      </c>
      <c r="J259" s="7" t="s">
        <v>239</v>
      </c>
    </row>
    <row r="260" spans="1:10" hidden="1" x14ac:dyDescent="0.25">
      <c r="A260" s="7" t="s">
        <v>211</v>
      </c>
      <c r="B260" s="7" t="s">
        <v>217</v>
      </c>
      <c r="C260" s="7" t="s">
        <v>221</v>
      </c>
      <c r="D260" s="7">
        <v>1375.5</v>
      </c>
      <c r="E260" s="27">
        <v>5</v>
      </c>
      <c r="F260" s="27">
        <v>20</v>
      </c>
      <c r="G260" s="27">
        <v>27510</v>
      </c>
      <c r="H260" s="27">
        <v>27234.899999999998</v>
      </c>
      <c r="I260" s="27">
        <v>13479.899999999998</v>
      </c>
      <c r="J260" s="7" t="s">
        <v>225</v>
      </c>
    </row>
    <row r="261" spans="1:10" hidden="1" x14ac:dyDescent="0.25">
      <c r="A261" s="7" t="s">
        <v>211</v>
      </c>
      <c r="B261" s="7" t="s">
        <v>212</v>
      </c>
      <c r="C261" s="7" t="s">
        <v>221</v>
      </c>
      <c r="D261" s="7">
        <v>1830</v>
      </c>
      <c r="E261" s="27">
        <v>5</v>
      </c>
      <c r="F261" s="27">
        <v>7</v>
      </c>
      <c r="G261" s="27">
        <v>12810</v>
      </c>
      <c r="H261" s="27">
        <v>12681.9</v>
      </c>
      <c r="I261" s="27">
        <v>3531.8999999999996</v>
      </c>
      <c r="J261" s="7" t="s">
        <v>227</v>
      </c>
    </row>
    <row r="262" spans="1:10" x14ac:dyDescent="0.25">
      <c r="A262" s="7" t="s">
        <v>226</v>
      </c>
      <c r="B262" s="7" t="s">
        <v>230</v>
      </c>
      <c r="C262" s="7" t="s">
        <v>221</v>
      </c>
      <c r="D262" s="7">
        <v>2498</v>
      </c>
      <c r="E262" s="27">
        <v>5</v>
      </c>
      <c r="F262" s="27">
        <v>300</v>
      </c>
      <c r="G262" s="27">
        <v>749400</v>
      </c>
      <c r="H262" s="27">
        <v>741906</v>
      </c>
      <c r="I262" s="27">
        <v>117406</v>
      </c>
      <c r="J262" s="7" t="s">
        <v>233</v>
      </c>
    </row>
    <row r="263" spans="1:10" x14ac:dyDescent="0.25">
      <c r="A263" s="7" t="s">
        <v>224</v>
      </c>
      <c r="B263" s="7" t="s">
        <v>230</v>
      </c>
      <c r="C263" s="7" t="s">
        <v>221</v>
      </c>
      <c r="D263" s="7">
        <v>663</v>
      </c>
      <c r="E263" s="27">
        <v>5</v>
      </c>
      <c r="F263" s="27">
        <v>125</v>
      </c>
      <c r="G263" s="27">
        <v>82875</v>
      </c>
      <c r="H263" s="27">
        <v>82046.25</v>
      </c>
      <c r="I263" s="27">
        <v>2486.25</v>
      </c>
      <c r="J263" s="7" t="s">
        <v>229</v>
      </c>
    </row>
    <row r="264" spans="1:10" x14ac:dyDescent="0.25">
      <c r="A264" s="7" t="s">
        <v>216</v>
      </c>
      <c r="B264" s="7" t="s">
        <v>230</v>
      </c>
      <c r="C264" s="7" t="s">
        <v>231</v>
      </c>
      <c r="D264" s="7">
        <v>1514</v>
      </c>
      <c r="E264" s="27">
        <v>10</v>
      </c>
      <c r="F264" s="27">
        <v>15</v>
      </c>
      <c r="G264" s="27">
        <v>22710</v>
      </c>
      <c r="H264" s="27">
        <v>22482.9</v>
      </c>
      <c r="I264" s="27">
        <v>7342.9000000000015</v>
      </c>
      <c r="J264" s="7" t="s">
        <v>232</v>
      </c>
    </row>
    <row r="265" spans="1:10" x14ac:dyDescent="0.25">
      <c r="A265" s="7" t="s">
        <v>211</v>
      </c>
      <c r="B265" s="7" t="s">
        <v>230</v>
      </c>
      <c r="C265" s="7" t="s">
        <v>231</v>
      </c>
      <c r="D265" s="7">
        <v>4492.5</v>
      </c>
      <c r="E265" s="27">
        <v>10</v>
      </c>
      <c r="F265" s="27">
        <v>7</v>
      </c>
      <c r="G265" s="27">
        <v>31447.5</v>
      </c>
      <c r="H265" s="27">
        <v>31133.024999999998</v>
      </c>
      <c r="I265" s="27">
        <v>8670.5249999999978</v>
      </c>
      <c r="J265" s="7" t="s">
        <v>239</v>
      </c>
    </row>
    <row r="266" spans="1:10" x14ac:dyDescent="0.25">
      <c r="A266" s="7" t="s">
        <v>224</v>
      </c>
      <c r="B266" s="7" t="s">
        <v>230</v>
      </c>
      <c r="C266" s="7" t="s">
        <v>231</v>
      </c>
      <c r="D266" s="7">
        <v>727</v>
      </c>
      <c r="E266" s="27">
        <v>10</v>
      </c>
      <c r="F266" s="27">
        <v>125</v>
      </c>
      <c r="G266" s="27">
        <v>90875</v>
      </c>
      <c r="H266" s="27">
        <v>89966.25</v>
      </c>
      <c r="I266" s="27">
        <v>2726.25</v>
      </c>
      <c r="J266" s="7" t="s">
        <v>218</v>
      </c>
    </row>
    <row r="267" spans="1:10" hidden="1" x14ac:dyDescent="0.25">
      <c r="A267" s="7" t="s">
        <v>224</v>
      </c>
      <c r="B267" s="7" t="s">
        <v>217</v>
      </c>
      <c r="C267" s="7" t="s">
        <v>231</v>
      </c>
      <c r="D267" s="7">
        <v>787</v>
      </c>
      <c r="E267" s="27">
        <v>10</v>
      </c>
      <c r="F267" s="27">
        <v>125</v>
      </c>
      <c r="G267" s="27">
        <v>98375</v>
      </c>
      <c r="H267" s="27">
        <v>97391.25</v>
      </c>
      <c r="I267" s="27">
        <v>2951.25</v>
      </c>
      <c r="J267" s="7" t="s">
        <v>218</v>
      </c>
    </row>
    <row r="268" spans="1:10" hidden="1" x14ac:dyDescent="0.25">
      <c r="A268" s="7" t="s">
        <v>224</v>
      </c>
      <c r="B268" s="7" t="s">
        <v>219</v>
      </c>
      <c r="C268" s="7" t="s">
        <v>231</v>
      </c>
      <c r="D268" s="7">
        <v>1823</v>
      </c>
      <c r="E268" s="27">
        <v>10</v>
      </c>
      <c r="F268" s="27">
        <v>125</v>
      </c>
      <c r="G268" s="27">
        <v>227875</v>
      </c>
      <c r="H268" s="27">
        <v>225596.25</v>
      </c>
      <c r="I268" s="27">
        <v>6836.25</v>
      </c>
      <c r="J268" s="7" t="s">
        <v>225</v>
      </c>
    </row>
    <row r="269" spans="1:10" hidden="1" x14ac:dyDescent="0.25">
      <c r="A269" s="7" t="s">
        <v>216</v>
      </c>
      <c r="B269" s="7" t="s">
        <v>215</v>
      </c>
      <c r="C269" s="7" t="s">
        <v>231</v>
      </c>
      <c r="D269" s="7">
        <v>747</v>
      </c>
      <c r="E269" s="27">
        <v>10</v>
      </c>
      <c r="F269" s="27">
        <v>15</v>
      </c>
      <c r="G269" s="27">
        <v>11205</v>
      </c>
      <c r="H269" s="27">
        <v>11092.95</v>
      </c>
      <c r="I269" s="27">
        <v>3622.9500000000007</v>
      </c>
      <c r="J269" s="7" t="s">
        <v>228</v>
      </c>
    </row>
    <row r="270" spans="1:10" hidden="1" x14ac:dyDescent="0.25">
      <c r="A270" s="7" t="s">
        <v>223</v>
      </c>
      <c r="B270" s="7" t="s">
        <v>215</v>
      </c>
      <c r="C270" s="7" t="s">
        <v>231</v>
      </c>
      <c r="D270" s="7">
        <v>766</v>
      </c>
      <c r="E270" s="27">
        <v>10</v>
      </c>
      <c r="F270" s="27">
        <v>12</v>
      </c>
      <c r="G270" s="27">
        <v>9192</v>
      </c>
      <c r="H270" s="27">
        <v>9100.08</v>
      </c>
      <c r="I270" s="27">
        <v>6802.08</v>
      </c>
      <c r="J270" s="7" t="s">
        <v>229</v>
      </c>
    </row>
    <row r="271" spans="1:10" x14ac:dyDescent="0.25">
      <c r="A271" s="7" t="s">
        <v>226</v>
      </c>
      <c r="B271" s="7" t="s">
        <v>230</v>
      </c>
      <c r="C271" s="7" t="s">
        <v>231</v>
      </c>
      <c r="D271" s="7">
        <v>2905</v>
      </c>
      <c r="E271" s="27">
        <v>10</v>
      </c>
      <c r="F271" s="27">
        <v>300</v>
      </c>
      <c r="G271" s="27">
        <v>871500</v>
      </c>
      <c r="H271" s="27">
        <v>862785</v>
      </c>
      <c r="I271" s="27">
        <v>136535</v>
      </c>
      <c r="J271" s="7" t="s">
        <v>242</v>
      </c>
    </row>
    <row r="272" spans="1:10" hidden="1" x14ac:dyDescent="0.25">
      <c r="A272" s="7" t="s">
        <v>211</v>
      </c>
      <c r="B272" s="7" t="s">
        <v>217</v>
      </c>
      <c r="C272" s="7" t="s">
        <v>231</v>
      </c>
      <c r="D272" s="7">
        <v>2155</v>
      </c>
      <c r="E272" s="27">
        <v>10</v>
      </c>
      <c r="F272" s="27">
        <v>350</v>
      </c>
      <c r="G272" s="27">
        <v>754250</v>
      </c>
      <c r="H272" s="27">
        <v>746707.5</v>
      </c>
      <c r="I272" s="27">
        <v>186407.5</v>
      </c>
      <c r="J272" s="7" t="s">
        <v>220</v>
      </c>
    </row>
    <row r="273" spans="1:10" hidden="1" x14ac:dyDescent="0.25">
      <c r="A273" s="7" t="s">
        <v>211</v>
      </c>
      <c r="B273" s="7" t="s">
        <v>217</v>
      </c>
      <c r="C273" s="7" t="s">
        <v>237</v>
      </c>
      <c r="D273" s="7">
        <v>3864</v>
      </c>
      <c r="E273" s="27">
        <v>120</v>
      </c>
      <c r="F273" s="27">
        <v>20</v>
      </c>
      <c r="G273" s="27">
        <v>77280</v>
      </c>
      <c r="H273" s="27">
        <v>76507.200000000012</v>
      </c>
      <c r="I273" s="27">
        <v>37867.200000000004</v>
      </c>
      <c r="J273" s="7" t="s">
        <v>239</v>
      </c>
    </row>
    <row r="274" spans="1:10" hidden="1" x14ac:dyDescent="0.25">
      <c r="A274" s="7" t="s">
        <v>211</v>
      </c>
      <c r="B274" s="7" t="s">
        <v>219</v>
      </c>
      <c r="C274" s="7" t="s">
        <v>237</v>
      </c>
      <c r="D274" s="7">
        <v>362</v>
      </c>
      <c r="E274" s="27">
        <v>120</v>
      </c>
      <c r="F274" s="27">
        <v>7</v>
      </c>
      <c r="G274" s="27">
        <v>2534</v>
      </c>
      <c r="H274" s="27">
        <v>2508.66</v>
      </c>
      <c r="I274" s="27">
        <v>698.65999999999985</v>
      </c>
      <c r="J274" s="7" t="s">
        <v>241</v>
      </c>
    </row>
    <row r="275" spans="1:10" hidden="1" x14ac:dyDescent="0.25">
      <c r="A275" s="7" t="s">
        <v>224</v>
      </c>
      <c r="B275" s="7" t="s">
        <v>212</v>
      </c>
      <c r="C275" s="7" t="s">
        <v>237</v>
      </c>
      <c r="D275" s="7">
        <v>923</v>
      </c>
      <c r="E275" s="27">
        <v>120</v>
      </c>
      <c r="F275" s="27">
        <v>125</v>
      </c>
      <c r="G275" s="27">
        <v>115375</v>
      </c>
      <c r="H275" s="27">
        <v>114221.25</v>
      </c>
      <c r="I275" s="27">
        <v>3461.25</v>
      </c>
      <c r="J275" s="7" t="s">
        <v>227</v>
      </c>
    </row>
    <row r="276" spans="1:10" x14ac:dyDescent="0.25">
      <c r="A276" s="7" t="s">
        <v>224</v>
      </c>
      <c r="B276" s="7" t="s">
        <v>230</v>
      </c>
      <c r="C276" s="7" t="s">
        <v>237</v>
      </c>
      <c r="D276" s="7">
        <v>663</v>
      </c>
      <c r="E276" s="27">
        <v>120</v>
      </c>
      <c r="F276" s="27">
        <v>125</v>
      </c>
      <c r="G276" s="27">
        <v>82875</v>
      </c>
      <c r="H276" s="27">
        <v>82046.25</v>
      </c>
      <c r="I276" s="27">
        <v>2486.25</v>
      </c>
      <c r="J276" s="7" t="s">
        <v>229</v>
      </c>
    </row>
    <row r="277" spans="1:10" hidden="1" x14ac:dyDescent="0.25">
      <c r="A277" s="7" t="s">
        <v>211</v>
      </c>
      <c r="B277" s="7" t="s">
        <v>212</v>
      </c>
      <c r="C277" s="7" t="s">
        <v>237</v>
      </c>
      <c r="D277" s="7">
        <v>2092</v>
      </c>
      <c r="E277" s="27">
        <v>120</v>
      </c>
      <c r="F277" s="27">
        <v>7</v>
      </c>
      <c r="G277" s="27">
        <v>14644</v>
      </c>
      <c r="H277" s="27">
        <v>14497.56</v>
      </c>
      <c r="I277" s="27">
        <v>4037.5599999999995</v>
      </c>
      <c r="J277" s="7" t="s">
        <v>235</v>
      </c>
    </row>
    <row r="278" spans="1:10" hidden="1" x14ac:dyDescent="0.25">
      <c r="A278" s="7" t="s">
        <v>211</v>
      </c>
      <c r="B278" s="7" t="s">
        <v>215</v>
      </c>
      <c r="C278" s="7" t="s">
        <v>238</v>
      </c>
      <c r="D278" s="7">
        <v>263</v>
      </c>
      <c r="E278" s="27">
        <v>250</v>
      </c>
      <c r="F278" s="27">
        <v>7</v>
      </c>
      <c r="G278" s="27">
        <v>1841</v>
      </c>
      <c r="H278" s="27">
        <v>1822.59</v>
      </c>
      <c r="I278" s="27">
        <v>507.58999999999992</v>
      </c>
      <c r="J278" s="7" t="s">
        <v>222</v>
      </c>
    </row>
    <row r="279" spans="1:10" hidden="1" x14ac:dyDescent="0.25">
      <c r="A279" s="7" t="s">
        <v>211</v>
      </c>
      <c r="B279" s="7" t="s">
        <v>212</v>
      </c>
      <c r="C279" s="7" t="s">
        <v>238</v>
      </c>
      <c r="D279" s="7">
        <v>943.5</v>
      </c>
      <c r="E279" s="27">
        <v>250</v>
      </c>
      <c r="F279" s="27">
        <v>350</v>
      </c>
      <c r="G279" s="27">
        <v>330225</v>
      </c>
      <c r="H279" s="27">
        <v>326922.75</v>
      </c>
      <c r="I279" s="27">
        <v>81612.75</v>
      </c>
      <c r="J279" s="7" t="s">
        <v>239</v>
      </c>
    </row>
    <row r="280" spans="1:10" x14ac:dyDescent="0.25">
      <c r="A280" s="7" t="s">
        <v>224</v>
      </c>
      <c r="B280" s="7" t="s">
        <v>230</v>
      </c>
      <c r="C280" s="7" t="s">
        <v>238</v>
      </c>
      <c r="D280" s="7">
        <v>727</v>
      </c>
      <c r="E280" s="27">
        <v>250</v>
      </c>
      <c r="F280" s="27">
        <v>125</v>
      </c>
      <c r="G280" s="27">
        <v>90875</v>
      </c>
      <c r="H280" s="27">
        <v>89966.25</v>
      </c>
      <c r="I280" s="27">
        <v>2726.25</v>
      </c>
      <c r="J280" s="7" t="s">
        <v>218</v>
      </c>
    </row>
    <row r="281" spans="1:10" hidden="1" x14ac:dyDescent="0.25">
      <c r="A281" s="7" t="s">
        <v>224</v>
      </c>
      <c r="B281" s="7" t="s">
        <v>217</v>
      </c>
      <c r="C281" s="7" t="s">
        <v>238</v>
      </c>
      <c r="D281" s="7">
        <v>787</v>
      </c>
      <c r="E281" s="27">
        <v>250</v>
      </c>
      <c r="F281" s="27">
        <v>125</v>
      </c>
      <c r="G281" s="27">
        <v>98375</v>
      </c>
      <c r="H281" s="27">
        <v>97391.25</v>
      </c>
      <c r="I281" s="27">
        <v>2951.25</v>
      </c>
      <c r="J281" s="7" t="s">
        <v>218</v>
      </c>
    </row>
    <row r="282" spans="1:10" hidden="1" x14ac:dyDescent="0.25">
      <c r="A282" s="7" t="s">
        <v>226</v>
      </c>
      <c r="B282" s="7" t="s">
        <v>215</v>
      </c>
      <c r="C282" s="7" t="s">
        <v>238</v>
      </c>
      <c r="D282" s="7">
        <v>986</v>
      </c>
      <c r="E282" s="27">
        <v>250</v>
      </c>
      <c r="F282" s="27">
        <v>300</v>
      </c>
      <c r="G282" s="27">
        <v>295800</v>
      </c>
      <c r="H282" s="27">
        <v>292842</v>
      </c>
      <c r="I282" s="27">
        <v>46342</v>
      </c>
      <c r="J282" s="7" t="s">
        <v>228</v>
      </c>
    </row>
    <row r="283" spans="1:10" hidden="1" x14ac:dyDescent="0.25">
      <c r="A283" s="7" t="s">
        <v>226</v>
      </c>
      <c r="B283" s="7" t="s">
        <v>219</v>
      </c>
      <c r="C283" s="7" t="s">
        <v>238</v>
      </c>
      <c r="D283" s="7">
        <v>494</v>
      </c>
      <c r="E283" s="27">
        <v>250</v>
      </c>
      <c r="F283" s="27">
        <v>300</v>
      </c>
      <c r="G283" s="27">
        <v>148200</v>
      </c>
      <c r="H283" s="27">
        <v>146718</v>
      </c>
      <c r="I283" s="27">
        <v>23218</v>
      </c>
      <c r="J283" s="7" t="s">
        <v>229</v>
      </c>
    </row>
    <row r="284" spans="1:10" hidden="1" x14ac:dyDescent="0.25">
      <c r="A284" s="7" t="s">
        <v>211</v>
      </c>
      <c r="B284" s="7" t="s">
        <v>219</v>
      </c>
      <c r="C284" s="7" t="s">
        <v>238</v>
      </c>
      <c r="D284" s="7">
        <v>1397</v>
      </c>
      <c r="E284" s="27">
        <v>250</v>
      </c>
      <c r="F284" s="27">
        <v>350</v>
      </c>
      <c r="G284" s="27">
        <v>488950</v>
      </c>
      <c r="H284" s="27">
        <v>484060.5</v>
      </c>
      <c r="I284" s="27">
        <v>120840.5</v>
      </c>
      <c r="J284" s="7" t="s">
        <v>234</v>
      </c>
    </row>
    <row r="285" spans="1:10" hidden="1" x14ac:dyDescent="0.25">
      <c r="A285" s="7" t="s">
        <v>224</v>
      </c>
      <c r="B285" s="7" t="s">
        <v>217</v>
      </c>
      <c r="C285" s="7" t="s">
        <v>238</v>
      </c>
      <c r="D285" s="7">
        <v>1744</v>
      </c>
      <c r="E285" s="27">
        <v>250</v>
      </c>
      <c r="F285" s="27">
        <v>125</v>
      </c>
      <c r="G285" s="27">
        <v>218000</v>
      </c>
      <c r="H285" s="27">
        <v>215820</v>
      </c>
      <c r="I285" s="27">
        <v>6540</v>
      </c>
      <c r="J285" s="7" t="s">
        <v>242</v>
      </c>
    </row>
    <row r="286" spans="1:10" x14ac:dyDescent="0.25">
      <c r="A286" s="7" t="s">
        <v>223</v>
      </c>
      <c r="B286" s="7" t="s">
        <v>230</v>
      </c>
      <c r="C286" s="7" t="s">
        <v>240</v>
      </c>
      <c r="D286" s="7">
        <v>1989</v>
      </c>
      <c r="E286" s="27">
        <v>260</v>
      </c>
      <c r="F286" s="27">
        <v>12</v>
      </c>
      <c r="G286" s="27">
        <v>23868</v>
      </c>
      <c r="H286" s="27">
        <v>23629.32</v>
      </c>
      <c r="I286" s="27">
        <v>17662.32</v>
      </c>
      <c r="J286" s="7" t="s">
        <v>233</v>
      </c>
    </row>
    <row r="287" spans="1:10" hidden="1" x14ac:dyDescent="0.25">
      <c r="A287" s="7" t="s">
        <v>216</v>
      </c>
      <c r="B287" s="7" t="s">
        <v>217</v>
      </c>
      <c r="C287" s="7" t="s">
        <v>240</v>
      </c>
      <c r="D287" s="7">
        <v>321</v>
      </c>
      <c r="E287" s="27">
        <v>260</v>
      </c>
      <c r="F287" s="27">
        <v>15</v>
      </c>
      <c r="G287" s="27">
        <v>4815</v>
      </c>
      <c r="H287" s="27">
        <v>4766.8500000000004</v>
      </c>
      <c r="I287" s="27">
        <v>1556.8500000000004</v>
      </c>
      <c r="J287" s="7" t="s">
        <v>235</v>
      </c>
    </row>
    <row r="288" spans="1:10" hidden="1" x14ac:dyDescent="0.25">
      <c r="A288" s="7" t="s">
        <v>224</v>
      </c>
      <c r="B288" s="7" t="s">
        <v>212</v>
      </c>
      <c r="C288" s="7" t="s">
        <v>213</v>
      </c>
      <c r="D288" s="7">
        <v>742.5</v>
      </c>
      <c r="E288" s="27">
        <v>3</v>
      </c>
      <c r="F288" s="27">
        <v>125</v>
      </c>
      <c r="G288" s="27">
        <v>92812.5</v>
      </c>
      <c r="H288" s="27">
        <v>90956.25</v>
      </c>
      <c r="I288" s="27">
        <v>1856.25</v>
      </c>
      <c r="J288" s="7" t="s">
        <v>239</v>
      </c>
    </row>
    <row r="289" spans="1:10" hidden="1" x14ac:dyDescent="0.25">
      <c r="A289" s="7" t="s">
        <v>223</v>
      </c>
      <c r="B289" s="7" t="s">
        <v>212</v>
      </c>
      <c r="C289" s="7" t="s">
        <v>213</v>
      </c>
      <c r="D289" s="7">
        <v>1295</v>
      </c>
      <c r="E289" s="27">
        <v>3</v>
      </c>
      <c r="F289" s="27">
        <v>12</v>
      </c>
      <c r="G289" s="27">
        <v>15540</v>
      </c>
      <c r="H289" s="27">
        <v>15229.2</v>
      </c>
      <c r="I289" s="27">
        <v>11344.2</v>
      </c>
      <c r="J289" s="7" t="s">
        <v>234</v>
      </c>
    </row>
    <row r="290" spans="1:10" hidden="1" x14ac:dyDescent="0.25">
      <c r="A290" s="7" t="s">
        <v>226</v>
      </c>
      <c r="B290" s="7" t="s">
        <v>215</v>
      </c>
      <c r="C290" s="7" t="s">
        <v>213</v>
      </c>
      <c r="D290" s="7">
        <v>214</v>
      </c>
      <c r="E290" s="27">
        <v>3</v>
      </c>
      <c r="F290" s="27">
        <v>300</v>
      </c>
      <c r="G290" s="27">
        <v>64200</v>
      </c>
      <c r="H290" s="27">
        <v>62916</v>
      </c>
      <c r="I290" s="27">
        <v>9416</v>
      </c>
      <c r="J290" s="7" t="s">
        <v>229</v>
      </c>
    </row>
    <row r="291" spans="1:10" hidden="1" x14ac:dyDescent="0.25">
      <c r="A291" s="7" t="s">
        <v>211</v>
      </c>
      <c r="B291" s="7" t="s">
        <v>217</v>
      </c>
      <c r="C291" s="7" t="s">
        <v>213</v>
      </c>
      <c r="D291" s="7">
        <v>2145</v>
      </c>
      <c r="E291" s="27">
        <v>3</v>
      </c>
      <c r="F291" s="27">
        <v>7</v>
      </c>
      <c r="G291" s="27">
        <v>15015</v>
      </c>
      <c r="H291" s="27">
        <v>14714.7</v>
      </c>
      <c r="I291" s="27">
        <v>3989.7000000000007</v>
      </c>
      <c r="J291" s="7" t="s">
        <v>235</v>
      </c>
    </row>
    <row r="292" spans="1:10" hidden="1" x14ac:dyDescent="0.25">
      <c r="A292" s="7" t="s">
        <v>211</v>
      </c>
      <c r="B292" s="7" t="s">
        <v>212</v>
      </c>
      <c r="C292" s="7" t="s">
        <v>213</v>
      </c>
      <c r="D292" s="7">
        <v>2852</v>
      </c>
      <c r="E292" s="27">
        <v>3</v>
      </c>
      <c r="F292" s="27">
        <v>350</v>
      </c>
      <c r="G292" s="27">
        <v>998200</v>
      </c>
      <c r="H292" s="27">
        <v>978236</v>
      </c>
      <c r="I292" s="27">
        <v>236716</v>
      </c>
      <c r="J292" s="7" t="s">
        <v>220</v>
      </c>
    </row>
    <row r="293" spans="1:10" x14ac:dyDescent="0.25">
      <c r="A293" s="7" t="s">
        <v>223</v>
      </c>
      <c r="B293" s="7" t="s">
        <v>230</v>
      </c>
      <c r="C293" s="7" t="s">
        <v>221</v>
      </c>
      <c r="D293" s="7">
        <v>1142</v>
      </c>
      <c r="E293" s="27">
        <v>5</v>
      </c>
      <c r="F293" s="27">
        <v>12</v>
      </c>
      <c r="G293" s="27">
        <v>13704</v>
      </c>
      <c r="H293" s="27">
        <v>13429.92</v>
      </c>
      <c r="I293" s="27">
        <v>10003.92</v>
      </c>
      <c r="J293" s="7" t="s">
        <v>218</v>
      </c>
    </row>
    <row r="294" spans="1:10" x14ac:dyDescent="0.25">
      <c r="A294" s="7" t="s">
        <v>211</v>
      </c>
      <c r="B294" s="7" t="s">
        <v>230</v>
      </c>
      <c r="C294" s="7" t="s">
        <v>221</v>
      </c>
      <c r="D294" s="7">
        <v>1566</v>
      </c>
      <c r="E294" s="27">
        <v>5</v>
      </c>
      <c r="F294" s="27">
        <v>20</v>
      </c>
      <c r="G294" s="27">
        <v>31320</v>
      </c>
      <c r="H294" s="27">
        <v>30693.599999999999</v>
      </c>
      <c r="I294" s="27">
        <v>15033.599999999999</v>
      </c>
      <c r="J294" s="7" t="s">
        <v>234</v>
      </c>
    </row>
    <row r="295" spans="1:10" hidden="1" x14ac:dyDescent="0.25">
      <c r="A295" s="7" t="s">
        <v>223</v>
      </c>
      <c r="B295" s="7" t="s">
        <v>219</v>
      </c>
      <c r="C295" s="7" t="s">
        <v>221</v>
      </c>
      <c r="D295" s="7">
        <v>690</v>
      </c>
      <c r="E295" s="27">
        <v>5</v>
      </c>
      <c r="F295" s="27">
        <v>12</v>
      </c>
      <c r="G295" s="27">
        <v>8280</v>
      </c>
      <c r="H295" s="27">
        <v>8114.4</v>
      </c>
      <c r="I295" s="27">
        <v>6044.4</v>
      </c>
      <c r="J295" s="7" t="s">
        <v>242</v>
      </c>
    </row>
    <row r="296" spans="1:10" hidden="1" x14ac:dyDescent="0.25">
      <c r="A296" s="7" t="s">
        <v>224</v>
      </c>
      <c r="B296" s="7" t="s">
        <v>219</v>
      </c>
      <c r="C296" s="7" t="s">
        <v>221</v>
      </c>
      <c r="D296" s="7">
        <v>1660</v>
      </c>
      <c r="E296" s="27">
        <v>5</v>
      </c>
      <c r="F296" s="27">
        <v>125</v>
      </c>
      <c r="G296" s="27">
        <v>207500</v>
      </c>
      <c r="H296" s="27">
        <v>203350</v>
      </c>
      <c r="I296" s="27">
        <v>4150</v>
      </c>
      <c r="J296" s="7" t="s">
        <v>235</v>
      </c>
    </row>
    <row r="297" spans="1:10" hidden="1" x14ac:dyDescent="0.25">
      <c r="A297" s="7" t="s">
        <v>216</v>
      </c>
      <c r="B297" s="7" t="s">
        <v>212</v>
      </c>
      <c r="C297" s="7" t="s">
        <v>231</v>
      </c>
      <c r="D297" s="7">
        <v>2363</v>
      </c>
      <c r="E297" s="27">
        <v>10</v>
      </c>
      <c r="F297" s="27">
        <v>15</v>
      </c>
      <c r="G297" s="27">
        <v>35445</v>
      </c>
      <c r="H297" s="27">
        <v>34736.1</v>
      </c>
      <c r="I297" s="27">
        <v>11106.099999999999</v>
      </c>
      <c r="J297" s="7" t="s">
        <v>232</v>
      </c>
    </row>
    <row r="298" spans="1:10" hidden="1" x14ac:dyDescent="0.25">
      <c r="A298" s="7" t="s">
        <v>226</v>
      </c>
      <c r="B298" s="7" t="s">
        <v>217</v>
      </c>
      <c r="C298" s="7" t="s">
        <v>231</v>
      </c>
      <c r="D298" s="7">
        <v>918</v>
      </c>
      <c r="E298" s="27">
        <v>10</v>
      </c>
      <c r="F298" s="27">
        <v>300</v>
      </c>
      <c r="G298" s="27">
        <v>275400</v>
      </c>
      <c r="H298" s="27">
        <v>269892</v>
      </c>
      <c r="I298" s="27">
        <v>40392</v>
      </c>
      <c r="J298" s="7" t="s">
        <v>241</v>
      </c>
    </row>
    <row r="299" spans="1:10" hidden="1" x14ac:dyDescent="0.25">
      <c r="A299" s="7" t="s">
        <v>226</v>
      </c>
      <c r="B299" s="7" t="s">
        <v>215</v>
      </c>
      <c r="C299" s="7" t="s">
        <v>231</v>
      </c>
      <c r="D299" s="7">
        <v>1728</v>
      </c>
      <c r="E299" s="27">
        <v>10</v>
      </c>
      <c r="F299" s="27">
        <v>300</v>
      </c>
      <c r="G299" s="27">
        <v>518400</v>
      </c>
      <c r="H299" s="27">
        <v>508032</v>
      </c>
      <c r="I299" s="27">
        <v>76032</v>
      </c>
      <c r="J299" s="7" t="s">
        <v>241</v>
      </c>
    </row>
    <row r="300" spans="1:10" x14ac:dyDescent="0.25">
      <c r="A300" s="7" t="s">
        <v>223</v>
      </c>
      <c r="B300" s="7" t="s">
        <v>230</v>
      </c>
      <c r="C300" s="7" t="s">
        <v>231</v>
      </c>
      <c r="D300" s="7">
        <v>1142</v>
      </c>
      <c r="E300" s="27">
        <v>10</v>
      </c>
      <c r="F300" s="27">
        <v>12</v>
      </c>
      <c r="G300" s="27">
        <v>13704</v>
      </c>
      <c r="H300" s="27">
        <v>13429.92</v>
      </c>
      <c r="I300" s="27">
        <v>10003.92</v>
      </c>
      <c r="J300" s="7" t="s">
        <v>218</v>
      </c>
    </row>
    <row r="301" spans="1:10" hidden="1" x14ac:dyDescent="0.25">
      <c r="A301" s="7" t="s">
        <v>224</v>
      </c>
      <c r="B301" s="7" t="s">
        <v>219</v>
      </c>
      <c r="C301" s="7" t="s">
        <v>231</v>
      </c>
      <c r="D301" s="7">
        <v>662</v>
      </c>
      <c r="E301" s="27">
        <v>10</v>
      </c>
      <c r="F301" s="27">
        <v>125</v>
      </c>
      <c r="G301" s="27">
        <v>82750</v>
      </c>
      <c r="H301" s="27">
        <v>81095</v>
      </c>
      <c r="I301" s="27">
        <v>1655</v>
      </c>
      <c r="J301" s="7" t="s">
        <v>218</v>
      </c>
    </row>
    <row r="302" spans="1:10" hidden="1" x14ac:dyDescent="0.25">
      <c r="A302" s="7" t="s">
        <v>223</v>
      </c>
      <c r="B302" s="7" t="s">
        <v>212</v>
      </c>
      <c r="C302" s="7" t="s">
        <v>231</v>
      </c>
      <c r="D302" s="7">
        <v>1295</v>
      </c>
      <c r="E302" s="27">
        <v>10</v>
      </c>
      <c r="F302" s="27">
        <v>12</v>
      </c>
      <c r="G302" s="27">
        <v>15540</v>
      </c>
      <c r="H302" s="27">
        <v>15229.2</v>
      </c>
      <c r="I302" s="27">
        <v>11344.2</v>
      </c>
      <c r="J302" s="7" t="s">
        <v>234</v>
      </c>
    </row>
    <row r="303" spans="1:10" hidden="1" x14ac:dyDescent="0.25">
      <c r="A303" s="7" t="s">
        <v>224</v>
      </c>
      <c r="B303" s="7" t="s">
        <v>215</v>
      </c>
      <c r="C303" s="7" t="s">
        <v>231</v>
      </c>
      <c r="D303" s="7">
        <v>809</v>
      </c>
      <c r="E303" s="27">
        <v>10</v>
      </c>
      <c r="F303" s="27">
        <v>125</v>
      </c>
      <c r="G303" s="27">
        <v>101125</v>
      </c>
      <c r="H303" s="27">
        <v>99102.5</v>
      </c>
      <c r="I303" s="27">
        <v>2022.5</v>
      </c>
      <c r="J303" s="7" t="s">
        <v>229</v>
      </c>
    </row>
    <row r="304" spans="1:10" hidden="1" x14ac:dyDescent="0.25">
      <c r="A304" s="7" t="s">
        <v>224</v>
      </c>
      <c r="B304" s="7" t="s">
        <v>219</v>
      </c>
      <c r="C304" s="7" t="s">
        <v>231</v>
      </c>
      <c r="D304" s="7">
        <v>2145</v>
      </c>
      <c r="E304" s="27">
        <v>10</v>
      </c>
      <c r="F304" s="27">
        <v>125</v>
      </c>
      <c r="G304" s="27">
        <v>268125</v>
      </c>
      <c r="H304" s="27">
        <v>262762.5</v>
      </c>
      <c r="I304" s="27">
        <v>5362.5</v>
      </c>
      <c r="J304" s="7" t="s">
        <v>229</v>
      </c>
    </row>
    <row r="305" spans="1:10" hidden="1" x14ac:dyDescent="0.25">
      <c r="A305" s="7" t="s">
        <v>223</v>
      </c>
      <c r="B305" s="7" t="s">
        <v>217</v>
      </c>
      <c r="C305" s="7" t="s">
        <v>231</v>
      </c>
      <c r="D305" s="7">
        <v>1785</v>
      </c>
      <c r="E305" s="27">
        <v>10</v>
      </c>
      <c r="F305" s="27">
        <v>12</v>
      </c>
      <c r="G305" s="27">
        <v>21420</v>
      </c>
      <c r="H305" s="27">
        <v>20991.599999999999</v>
      </c>
      <c r="I305" s="27">
        <v>15636.599999999999</v>
      </c>
      <c r="J305" s="7" t="s">
        <v>235</v>
      </c>
    </row>
    <row r="306" spans="1:10" hidden="1" x14ac:dyDescent="0.25">
      <c r="A306" s="7" t="s">
        <v>226</v>
      </c>
      <c r="B306" s="7" t="s">
        <v>212</v>
      </c>
      <c r="C306" s="7" t="s">
        <v>231</v>
      </c>
      <c r="D306" s="7">
        <v>1916</v>
      </c>
      <c r="E306" s="27">
        <v>10</v>
      </c>
      <c r="F306" s="27">
        <v>300</v>
      </c>
      <c r="G306" s="27">
        <v>574800</v>
      </c>
      <c r="H306" s="27">
        <v>563304</v>
      </c>
      <c r="I306" s="27">
        <v>84304</v>
      </c>
      <c r="J306" s="7" t="s">
        <v>220</v>
      </c>
    </row>
    <row r="307" spans="1:10" hidden="1" x14ac:dyDescent="0.25">
      <c r="A307" s="7" t="s">
        <v>211</v>
      </c>
      <c r="B307" s="7" t="s">
        <v>212</v>
      </c>
      <c r="C307" s="7" t="s">
        <v>231</v>
      </c>
      <c r="D307" s="7">
        <v>2852</v>
      </c>
      <c r="E307" s="27">
        <v>10</v>
      </c>
      <c r="F307" s="27">
        <v>350</v>
      </c>
      <c r="G307" s="27">
        <v>998200</v>
      </c>
      <c r="H307" s="27">
        <v>978236</v>
      </c>
      <c r="I307" s="27">
        <v>236716</v>
      </c>
      <c r="J307" s="7" t="s">
        <v>220</v>
      </c>
    </row>
    <row r="308" spans="1:10" hidden="1" x14ac:dyDescent="0.25">
      <c r="A308" s="7" t="s">
        <v>224</v>
      </c>
      <c r="B308" s="7" t="s">
        <v>212</v>
      </c>
      <c r="C308" s="7" t="s">
        <v>231</v>
      </c>
      <c r="D308" s="7">
        <v>2729</v>
      </c>
      <c r="E308" s="27">
        <v>10</v>
      </c>
      <c r="F308" s="27">
        <v>125</v>
      </c>
      <c r="G308" s="27">
        <v>341125</v>
      </c>
      <c r="H308" s="27">
        <v>334302.5</v>
      </c>
      <c r="I308" s="27">
        <v>6822.5</v>
      </c>
      <c r="J308" s="7" t="s">
        <v>220</v>
      </c>
    </row>
    <row r="309" spans="1:10" x14ac:dyDescent="0.25">
      <c r="A309" s="7" t="s">
        <v>216</v>
      </c>
      <c r="B309" s="7" t="s">
        <v>230</v>
      </c>
      <c r="C309" s="7" t="s">
        <v>231</v>
      </c>
      <c r="D309" s="7">
        <v>1925</v>
      </c>
      <c r="E309" s="27">
        <v>10</v>
      </c>
      <c r="F309" s="27">
        <v>15</v>
      </c>
      <c r="G309" s="27">
        <v>28875</v>
      </c>
      <c r="H309" s="27">
        <v>28297.5</v>
      </c>
      <c r="I309" s="27">
        <v>9047.5</v>
      </c>
      <c r="J309" s="7" t="s">
        <v>236</v>
      </c>
    </row>
    <row r="310" spans="1:10" x14ac:dyDescent="0.25">
      <c r="A310" s="7" t="s">
        <v>211</v>
      </c>
      <c r="B310" s="7" t="s">
        <v>230</v>
      </c>
      <c r="C310" s="7" t="s">
        <v>231</v>
      </c>
      <c r="D310" s="7">
        <v>2013</v>
      </c>
      <c r="E310" s="27">
        <v>10</v>
      </c>
      <c r="F310" s="27">
        <v>7</v>
      </c>
      <c r="G310" s="27">
        <v>14091</v>
      </c>
      <c r="H310" s="27">
        <v>13809.18</v>
      </c>
      <c r="I310" s="27">
        <v>3744.1800000000003</v>
      </c>
      <c r="J310" s="7" t="s">
        <v>236</v>
      </c>
    </row>
    <row r="311" spans="1:10" hidden="1" x14ac:dyDescent="0.25">
      <c r="A311" s="7" t="s">
        <v>223</v>
      </c>
      <c r="B311" s="7" t="s">
        <v>217</v>
      </c>
      <c r="C311" s="7" t="s">
        <v>231</v>
      </c>
      <c r="D311" s="7">
        <v>1055</v>
      </c>
      <c r="E311" s="27">
        <v>10</v>
      </c>
      <c r="F311" s="27">
        <v>12</v>
      </c>
      <c r="G311" s="27">
        <v>12660</v>
      </c>
      <c r="H311" s="27">
        <v>12406.8</v>
      </c>
      <c r="I311" s="27">
        <v>9241.7999999999993</v>
      </c>
      <c r="J311" s="7" t="s">
        <v>220</v>
      </c>
    </row>
    <row r="312" spans="1:10" hidden="1" x14ac:dyDescent="0.25">
      <c r="A312" s="7" t="s">
        <v>223</v>
      </c>
      <c r="B312" s="7" t="s">
        <v>219</v>
      </c>
      <c r="C312" s="7" t="s">
        <v>231</v>
      </c>
      <c r="D312" s="7">
        <v>1084</v>
      </c>
      <c r="E312" s="27">
        <v>10</v>
      </c>
      <c r="F312" s="27">
        <v>12</v>
      </c>
      <c r="G312" s="27">
        <v>13008</v>
      </c>
      <c r="H312" s="27">
        <v>12747.84</v>
      </c>
      <c r="I312" s="27">
        <v>9495.84</v>
      </c>
      <c r="J312" s="7" t="s">
        <v>220</v>
      </c>
    </row>
    <row r="313" spans="1:10" x14ac:dyDescent="0.25">
      <c r="A313" s="7" t="s">
        <v>211</v>
      </c>
      <c r="B313" s="7" t="s">
        <v>230</v>
      </c>
      <c r="C313" s="7" t="s">
        <v>237</v>
      </c>
      <c r="D313" s="7">
        <v>1566</v>
      </c>
      <c r="E313" s="27">
        <v>120</v>
      </c>
      <c r="F313" s="27">
        <v>20</v>
      </c>
      <c r="G313" s="27">
        <v>31320</v>
      </c>
      <c r="H313" s="27">
        <v>30693.599999999999</v>
      </c>
      <c r="I313" s="27">
        <v>15033.599999999999</v>
      </c>
      <c r="J313" s="7" t="s">
        <v>234</v>
      </c>
    </row>
    <row r="314" spans="1:10" hidden="1" x14ac:dyDescent="0.25">
      <c r="A314" s="7" t="s">
        <v>211</v>
      </c>
      <c r="B314" s="7" t="s">
        <v>215</v>
      </c>
      <c r="C314" s="7" t="s">
        <v>237</v>
      </c>
      <c r="D314" s="7">
        <v>2966</v>
      </c>
      <c r="E314" s="27">
        <v>120</v>
      </c>
      <c r="F314" s="27">
        <v>350</v>
      </c>
      <c r="G314" s="27">
        <v>1038100</v>
      </c>
      <c r="H314" s="27">
        <v>1017338</v>
      </c>
      <c r="I314" s="27">
        <v>246178</v>
      </c>
      <c r="J314" s="7" t="s">
        <v>229</v>
      </c>
    </row>
    <row r="315" spans="1:10" hidden="1" x14ac:dyDescent="0.25">
      <c r="A315" s="7" t="s">
        <v>211</v>
      </c>
      <c r="B315" s="7" t="s">
        <v>215</v>
      </c>
      <c r="C315" s="7" t="s">
        <v>237</v>
      </c>
      <c r="D315" s="7">
        <v>2877</v>
      </c>
      <c r="E315" s="27">
        <v>120</v>
      </c>
      <c r="F315" s="27">
        <v>350</v>
      </c>
      <c r="G315" s="27">
        <v>1006950</v>
      </c>
      <c r="H315" s="27">
        <v>986811</v>
      </c>
      <c r="I315" s="27">
        <v>238791</v>
      </c>
      <c r="J315" s="7" t="s">
        <v>234</v>
      </c>
    </row>
    <row r="316" spans="1:10" hidden="1" x14ac:dyDescent="0.25">
      <c r="A316" s="7" t="s">
        <v>224</v>
      </c>
      <c r="B316" s="7" t="s">
        <v>215</v>
      </c>
      <c r="C316" s="7" t="s">
        <v>237</v>
      </c>
      <c r="D316" s="7">
        <v>809</v>
      </c>
      <c r="E316" s="27">
        <v>120</v>
      </c>
      <c r="F316" s="27">
        <v>125</v>
      </c>
      <c r="G316" s="27">
        <v>101125</v>
      </c>
      <c r="H316" s="27">
        <v>99102.5</v>
      </c>
      <c r="I316" s="27">
        <v>2022.5</v>
      </c>
      <c r="J316" s="7" t="s">
        <v>229</v>
      </c>
    </row>
    <row r="317" spans="1:10" hidden="1" x14ac:dyDescent="0.25">
      <c r="A317" s="7" t="s">
        <v>224</v>
      </c>
      <c r="B317" s="7" t="s">
        <v>219</v>
      </c>
      <c r="C317" s="7" t="s">
        <v>237</v>
      </c>
      <c r="D317" s="7">
        <v>2145</v>
      </c>
      <c r="E317" s="27">
        <v>120</v>
      </c>
      <c r="F317" s="27">
        <v>125</v>
      </c>
      <c r="G317" s="27">
        <v>268125</v>
      </c>
      <c r="H317" s="27">
        <v>262762.5</v>
      </c>
      <c r="I317" s="27">
        <v>5362.5</v>
      </c>
      <c r="J317" s="7" t="s">
        <v>229</v>
      </c>
    </row>
    <row r="318" spans="1:10" hidden="1" x14ac:dyDescent="0.25">
      <c r="A318" s="7" t="s">
        <v>223</v>
      </c>
      <c r="B318" s="7" t="s">
        <v>217</v>
      </c>
      <c r="C318" s="7" t="s">
        <v>237</v>
      </c>
      <c r="D318" s="7">
        <v>1055</v>
      </c>
      <c r="E318" s="27">
        <v>120</v>
      </c>
      <c r="F318" s="27">
        <v>12</v>
      </c>
      <c r="G318" s="27">
        <v>12660</v>
      </c>
      <c r="H318" s="27">
        <v>12406.8</v>
      </c>
      <c r="I318" s="27">
        <v>9241.7999999999993</v>
      </c>
      <c r="J318" s="7" t="s">
        <v>220</v>
      </c>
    </row>
    <row r="319" spans="1:10" hidden="1" x14ac:dyDescent="0.25">
      <c r="A319" s="7" t="s">
        <v>211</v>
      </c>
      <c r="B319" s="7" t="s">
        <v>219</v>
      </c>
      <c r="C319" s="7" t="s">
        <v>237</v>
      </c>
      <c r="D319" s="7">
        <v>544</v>
      </c>
      <c r="E319" s="27">
        <v>120</v>
      </c>
      <c r="F319" s="27">
        <v>20</v>
      </c>
      <c r="G319" s="27">
        <v>10880</v>
      </c>
      <c r="H319" s="27">
        <v>10662.4</v>
      </c>
      <c r="I319" s="27">
        <v>5222.3999999999996</v>
      </c>
      <c r="J319" s="7" t="s">
        <v>236</v>
      </c>
    </row>
    <row r="320" spans="1:10" hidden="1" x14ac:dyDescent="0.25">
      <c r="A320" s="7" t="s">
        <v>223</v>
      </c>
      <c r="B320" s="7" t="s">
        <v>219</v>
      </c>
      <c r="C320" s="7" t="s">
        <v>237</v>
      </c>
      <c r="D320" s="7">
        <v>1084</v>
      </c>
      <c r="E320" s="27">
        <v>120</v>
      </c>
      <c r="F320" s="27">
        <v>12</v>
      </c>
      <c r="G320" s="27">
        <v>13008</v>
      </c>
      <c r="H320" s="27">
        <v>12747.84</v>
      </c>
      <c r="I320" s="27">
        <v>9495.84</v>
      </c>
      <c r="J320" s="7" t="s">
        <v>220</v>
      </c>
    </row>
    <row r="321" spans="1:10" hidden="1" x14ac:dyDescent="0.25">
      <c r="A321" s="7" t="s">
        <v>224</v>
      </c>
      <c r="B321" s="7" t="s">
        <v>219</v>
      </c>
      <c r="C321" s="7" t="s">
        <v>238</v>
      </c>
      <c r="D321" s="7">
        <v>662</v>
      </c>
      <c r="E321" s="27">
        <v>250</v>
      </c>
      <c r="F321" s="27">
        <v>125</v>
      </c>
      <c r="G321" s="27">
        <v>82750</v>
      </c>
      <c r="H321" s="27">
        <v>81095</v>
      </c>
      <c r="I321" s="27">
        <v>1655</v>
      </c>
      <c r="J321" s="7" t="s">
        <v>218</v>
      </c>
    </row>
    <row r="322" spans="1:10" hidden="1" x14ac:dyDescent="0.25">
      <c r="A322" s="7" t="s">
        <v>226</v>
      </c>
      <c r="B322" s="7" t="s">
        <v>215</v>
      </c>
      <c r="C322" s="7" t="s">
        <v>238</v>
      </c>
      <c r="D322" s="7">
        <v>214</v>
      </c>
      <c r="E322" s="27">
        <v>250</v>
      </c>
      <c r="F322" s="27">
        <v>300</v>
      </c>
      <c r="G322" s="27">
        <v>64200</v>
      </c>
      <c r="H322" s="27">
        <v>62916</v>
      </c>
      <c r="I322" s="27">
        <v>9416</v>
      </c>
      <c r="J322" s="7" t="s">
        <v>229</v>
      </c>
    </row>
    <row r="323" spans="1:10" hidden="1" x14ac:dyDescent="0.25">
      <c r="A323" s="7" t="s">
        <v>211</v>
      </c>
      <c r="B323" s="7" t="s">
        <v>215</v>
      </c>
      <c r="C323" s="7" t="s">
        <v>238</v>
      </c>
      <c r="D323" s="7">
        <v>2877</v>
      </c>
      <c r="E323" s="27">
        <v>250</v>
      </c>
      <c r="F323" s="27">
        <v>350</v>
      </c>
      <c r="G323" s="27">
        <v>1006950</v>
      </c>
      <c r="H323" s="27">
        <v>986811</v>
      </c>
      <c r="I323" s="27">
        <v>238791</v>
      </c>
      <c r="J323" s="7" t="s">
        <v>234</v>
      </c>
    </row>
    <row r="324" spans="1:10" hidden="1" x14ac:dyDescent="0.25">
      <c r="A324" s="7" t="s">
        <v>224</v>
      </c>
      <c r="B324" s="7" t="s">
        <v>212</v>
      </c>
      <c r="C324" s="7" t="s">
        <v>238</v>
      </c>
      <c r="D324" s="7">
        <v>2729</v>
      </c>
      <c r="E324" s="27">
        <v>250</v>
      </c>
      <c r="F324" s="27">
        <v>125</v>
      </c>
      <c r="G324" s="27">
        <v>341125</v>
      </c>
      <c r="H324" s="27">
        <v>334302.5</v>
      </c>
      <c r="I324" s="27">
        <v>6822.5</v>
      </c>
      <c r="J324" s="7" t="s">
        <v>220</v>
      </c>
    </row>
    <row r="325" spans="1:10" x14ac:dyDescent="0.25">
      <c r="A325" s="7" t="s">
        <v>211</v>
      </c>
      <c r="B325" s="7" t="s">
        <v>230</v>
      </c>
      <c r="C325" s="7" t="s">
        <v>238</v>
      </c>
      <c r="D325" s="7">
        <v>266</v>
      </c>
      <c r="E325" s="27">
        <v>250</v>
      </c>
      <c r="F325" s="27">
        <v>350</v>
      </c>
      <c r="G325" s="27">
        <v>93100</v>
      </c>
      <c r="H325" s="27">
        <v>91238</v>
      </c>
      <c r="I325" s="27">
        <v>22078</v>
      </c>
      <c r="J325" s="7" t="s">
        <v>236</v>
      </c>
    </row>
    <row r="326" spans="1:10" hidden="1" x14ac:dyDescent="0.25">
      <c r="A326" s="7" t="s">
        <v>211</v>
      </c>
      <c r="B326" s="7" t="s">
        <v>219</v>
      </c>
      <c r="C326" s="7" t="s">
        <v>238</v>
      </c>
      <c r="D326" s="7">
        <v>1940</v>
      </c>
      <c r="E326" s="27">
        <v>250</v>
      </c>
      <c r="F326" s="27">
        <v>350</v>
      </c>
      <c r="G326" s="27">
        <v>679000</v>
      </c>
      <c r="H326" s="27">
        <v>665420</v>
      </c>
      <c r="I326" s="27">
        <v>161020</v>
      </c>
      <c r="J326" s="7" t="s">
        <v>236</v>
      </c>
    </row>
    <row r="327" spans="1:10" hidden="1" x14ac:dyDescent="0.25">
      <c r="A327" s="7" t="s">
        <v>226</v>
      </c>
      <c r="B327" s="7" t="s">
        <v>215</v>
      </c>
      <c r="C327" s="7" t="s">
        <v>240</v>
      </c>
      <c r="D327" s="7">
        <v>259</v>
      </c>
      <c r="E327" s="27">
        <v>260</v>
      </c>
      <c r="F327" s="27">
        <v>300</v>
      </c>
      <c r="G327" s="27">
        <v>77700</v>
      </c>
      <c r="H327" s="27">
        <v>76146</v>
      </c>
      <c r="I327" s="27">
        <v>11396</v>
      </c>
      <c r="J327" s="7" t="s">
        <v>222</v>
      </c>
    </row>
    <row r="328" spans="1:10" hidden="1" x14ac:dyDescent="0.25">
      <c r="A328" s="7" t="s">
        <v>226</v>
      </c>
      <c r="B328" s="7" t="s">
        <v>219</v>
      </c>
      <c r="C328" s="7" t="s">
        <v>240</v>
      </c>
      <c r="D328" s="7">
        <v>1101</v>
      </c>
      <c r="E328" s="27">
        <v>260</v>
      </c>
      <c r="F328" s="27">
        <v>300</v>
      </c>
      <c r="G328" s="27">
        <v>330300</v>
      </c>
      <c r="H328" s="27">
        <v>323694</v>
      </c>
      <c r="I328" s="27">
        <v>48444</v>
      </c>
      <c r="J328" s="7" t="s">
        <v>222</v>
      </c>
    </row>
    <row r="329" spans="1:10" hidden="1" x14ac:dyDescent="0.25">
      <c r="A329" s="7" t="s">
        <v>224</v>
      </c>
      <c r="B329" s="7" t="s">
        <v>215</v>
      </c>
      <c r="C329" s="7" t="s">
        <v>240</v>
      </c>
      <c r="D329" s="7">
        <v>2276</v>
      </c>
      <c r="E329" s="27">
        <v>260</v>
      </c>
      <c r="F329" s="27">
        <v>125</v>
      </c>
      <c r="G329" s="27">
        <v>284500</v>
      </c>
      <c r="H329" s="27">
        <v>278810</v>
      </c>
      <c r="I329" s="27">
        <v>5690</v>
      </c>
      <c r="J329" s="7" t="s">
        <v>241</v>
      </c>
    </row>
    <row r="330" spans="1:10" hidden="1" x14ac:dyDescent="0.25">
      <c r="A330" s="7" t="s">
        <v>211</v>
      </c>
      <c r="B330" s="7" t="s">
        <v>215</v>
      </c>
      <c r="C330" s="7" t="s">
        <v>240</v>
      </c>
      <c r="D330" s="7">
        <v>2966</v>
      </c>
      <c r="E330" s="27">
        <v>260</v>
      </c>
      <c r="F330" s="27">
        <v>350</v>
      </c>
      <c r="G330" s="27">
        <v>1038100</v>
      </c>
      <c r="H330" s="27">
        <v>1017338</v>
      </c>
      <c r="I330" s="27">
        <v>246178</v>
      </c>
      <c r="J330" s="7" t="s">
        <v>229</v>
      </c>
    </row>
    <row r="331" spans="1:10" x14ac:dyDescent="0.25">
      <c r="A331" s="7" t="s">
        <v>211</v>
      </c>
      <c r="B331" s="7" t="s">
        <v>230</v>
      </c>
      <c r="C331" s="7" t="s">
        <v>240</v>
      </c>
      <c r="D331" s="7">
        <v>1236</v>
      </c>
      <c r="E331" s="27">
        <v>260</v>
      </c>
      <c r="F331" s="27">
        <v>20</v>
      </c>
      <c r="G331" s="27">
        <v>24720</v>
      </c>
      <c r="H331" s="27">
        <v>24225.599999999999</v>
      </c>
      <c r="I331" s="27">
        <v>11865.599999999999</v>
      </c>
      <c r="J331" s="7" t="s">
        <v>242</v>
      </c>
    </row>
    <row r="332" spans="1:10" hidden="1" x14ac:dyDescent="0.25">
      <c r="A332" s="7" t="s">
        <v>211</v>
      </c>
      <c r="B332" s="7" t="s">
        <v>217</v>
      </c>
      <c r="C332" s="7" t="s">
        <v>240</v>
      </c>
      <c r="D332" s="7">
        <v>941</v>
      </c>
      <c r="E332" s="27">
        <v>260</v>
      </c>
      <c r="F332" s="27">
        <v>20</v>
      </c>
      <c r="G332" s="27">
        <v>18820</v>
      </c>
      <c r="H332" s="27">
        <v>18443.599999999999</v>
      </c>
      <c r="I332" s="27">
        <v>9033.5999999999985</v>
      </c>
      <c r="J332" s="7" t="s">
        <v>242</v>
      </c>
    </row>
    <row r="333" spans="1:10" hidden="1" x14ac:dyDescent="0.25">
      <c r="A333" s="7" t="s">
        <v>226</v>
      </c>
      <c r="B333" s="7" t="s">
        <v>212</v>
      </c>
      <c r="C333" s="7" t="s">
        <v>240</v>
      </c>
      <c r="D333" s="7">
        <v>1916</v>
      </c>
      <c r="E333" s="27">
        <v>260</v>
      </c>
      <c r="F333" s="27">
        <v>300</v>
      </c>
      <c r="G333" s="27">
        <v>574800</v>
      </c>
      <c r="H333" s="27">
        <v>563304</v>
      </c>
      <c r="I333" s="27">
        <v>84304</v>
      </c>
      <c r="J333" s="7" t="s">
        <v>220</v>
      </c>
    </row>
    <row r="334" spans="1:10" hidden="1" x14ac:dyDescent="0.25">
      <c r="A334" s="7" t="s">
        <v>224</v>
      </c>
      <c r="B334" s="7" t="s">
        <v>217</v>
      </c>
      <c r="C334" s="7" t="s">
        <v>213</v>
      </c>
      <c r="D334" s="7">
        <v>4243.5</v>
      </c>
      <c r="E334" s="27">
        <v>3</v>
      </c>
      <c r="F334" s="27">
        <v>125</v>
      </c>
      <c r="G334" s="27">
        <v>530437.5</v>
      </c>
      <c r="H334" s="27">
        <v>514524.375</v>
      </c>
      <c r="I334" s="27">
        <v>5304.375</v>
      </c>
      <c r="J334" s="7" t="s">
        <v>239</v>
      </c>
    </row>
    <row r="335" spans="1:10" hidden="1" x14ac:dyDescent="0.25">
      <c r="A335" s="7" t="s">
        <v>211</v>
      </c>
      <c r="B335" s="7" t="s">
        <v>215</v>
      </c>
      <c r="C335" s="7" t="s">
        <v>213</v>
      </c>
      <c r="D335" s="7">
        <v>2580</v>
      </c>
      <c r="E335" s="27">
        <v>3</v>
      </c>
      <c r="F335" s="27">
        <v>20</v>
      </c>
      <c r="G335" s="27">
        <v>51600</v>
      </c>
      <c r="H335" s="27">
        <v>50052</v>
      </c>
      <c r="I335" s="27">
        <v>24252</v>
      </c>
      <c r="J335" s="7" t="s">
        <v>239</v>
      </c>
    </row>
    <row r="336" spans="1:10" hidden="1" x14ac:dyDescent="0.25">
      <c r="A336" s="7" t="s">
        <v>226</v>
      </c>
      <c r="B336" s="7" t="s">
        <v>215</v>
      </c>
      <c r="C336" s="7" t="s">
        <v>213</v>
      </c>
      <c r="D336" s="7">
        <v>689</v>
      </c>
      <c r="E336" s="27">
        <v>3</v>
      </c>
      <c r="F336" s="27">
        <v>300</v>
      </c>
      <c r="G336" s="27">
        <v>206700</v>
      </c>
      <c r="H336" s="27">
        <v>200499</v>
      </c>
      <c r="I336" s="27">
        <v>28249</v>
      </c>
      <c r="J336" s="7" t="s">
        <v>218</v>
      </c>
    </row>
    <row r="337" spans="1:10" x14ac:dyDescent="0.25">
      <c r="A337" s="7" t="s">
        <v>223</v>
      </c>
      <c r="B337" s="7" t="s">
        <v>230</v>
      </c>
      <c r="C337" s="7" t="s">
        <v>213</v>
      </c>
      <c r="D337" s="7">
        <v>1947</v>
      </c>
      <c r="E337" s="27">
        <v>3</v>
      </c>
      <c r="F337" s="27">
        <v>12</v>
      </c>
      <c r="G337" s="27">
        <v>23364</v>
      </c>
      <c r="H337" s="27">
        <v>22663.08</v>
      </c>
      <c r="I337" s="27">
        <v>16822.080000000002</v>
      </c>
      <c r="J337" s="7" t="s">
        <v>228</v>
      </c>
    </row>
    <row r="338" spans="1:10" hidden="1" x14ac:dyDescent="0.25">
      <c r="A338" s="7" t="s">
        <v>223</v>
      </c>
      <c r="B338" s="7" t="s">
        <v>212</v>
      </c>
      <c r="C338" s="7" t="s">
        <v>213</v>
      </c>
      <c r="D338" s="7">
        <v>908</v>
      </c>
      <c r="E338" s="27">
        <v>3</v>
      </c>
      <c r="F338" s="27">
        <v>12</v>
      </c>
      <c r="G338" s="27">
        <v>10896</v>
      </c>
      <c r="H338" s="27">
        <v>10569.12</v>
      </c>
      <c r="I338" s="27">
        <v>7845.1200000000008</v>
      </c>
      <c r="J338" s="7" t="s">
        <v>236</v>
      </c>
    </row>
    <row r="339" spans="1:10" hidden="1" x14ac:dyDescent="0.25">
      <c r="A339" s="7" t="s">
        <v>211</v>
      </c>
      <c r="B339" s="7" t="s">
        <v>215</v>
      </c>
      <c r="C339" s="7" t="s">
        <v>221</v>
      </c>
      <c r="D339" s="7">
        <v>1958</v>
      </c>
      <c r="E339" s="27">
        <v>5</v>
      </c>
      <c r="F339" s="27">
        <v>7</v>
      </c>
      <c r="G339" s="27">
        <v>13706</v>
      </c>
      <c r="H339" s="27">
        <v>13294.82</v>
      </c>
      <c r="I339" s="27">
        <v>3504.8199999999997</v>
      </c>
      <c r="J339" s="7" t="s">
        <v>232</v>
      </c>
    </row>
    <row r="340" spans="1:10" hidden="1" x14ac:dyDescent="0.25">
      <c r="A340" s="7" t="s">
        <v>223</v>
      </c>
      <c r="B340" s="7" t="s">
        <v>217</v>
      </c>
      <c r="C340" s="7" t="s">
        <v>221</v>
      </c>
      <c r="D340" s="7">
        <v>1901</v>
      </c>
      <c r="E340" s="27">
        <v>5</v>
      </c>
      <c r="F340" s="27">
        <v>12</v>
      </c>
      <c r="G340" s="27">
        <v>22812</v>
      </c>
      <c r="H340" s="27">
        <v>22127.64</v>
      </c>
      <c r="I340" s="27">
        <v>16424.64</v>
      </c>
      <c r="J340" s="7" t="s">
        <v>218</v>
      </c>
    </row>
    <row r="341" spans="1:10" hidden="1" x14ac:dyDescent="0.25">
      <c r="A341" s="7" t="s">
        <v>211</v>
      </c>
      <c r="B341" s="7" t="s">
        <v>217</v>
      </c>
      <c r="C341" s="7" t="s">
        <v>221</v>
      </c>
      <c r="D341" s="7">
        <v>544</v>
      </c>
      <c r="E341" s="27">
        <v>5</v>
      </c>
      <c r="F341" s="27">
        <v>7</v>
      </c>
      <c r="G341" s="27">
        <v>3808</v>
      </c>
      <c r="H341" s="27">
        <v>3693.76</v>
      </c>
      <c r="I341" s="27">
        <v>973.76000000000022</v>
      </c>
      <c r="J341" s="7" t="s">
        <v>228</v>
      </c>
    </row>
    <row r="342" spans="1:10" hidden="1" x14ac:dyDescent="0.25">
      <c r="A342" s="7" t="s">
        <v>211</v>
      </c>
      <c r="B342" s="7" t="s">
        <v>215</v>
      </c>
      <c r="C342" s="7" t="s">
        <v>221</v>
      </c>
      <c r="D342" s="7">
        <v>1797</v>
      </c>
      <c r="E342" s="27">
        <v>5</v>
      </c>
      <c r="F342" s="27">
        <v>350</v>
      </c>
      <c r="G342" s="27">
        <v>628950</v>
      </c>
      <c r="H342" s="27">
        <v>610081.5</v>
      </c>
      <c r="I342" s="27">
        <v>142861.5</v>
      </c>
      <c r="J342" s="7" t="s">
        <v>233</v>
      </c>
    </row>
    <row r="343" spans="1:10" hidden="1" x14ac:dyDescent="0.25">
      <c r="A343" s="7" t="s">
        <v>224</v>
      </c>
      <c r="B343" s="7" t="s">
        <v>217</v>
      </c>
      <c r="C343" s="7" t="s">
        <v>221</v>
      </c>
      <c r="D343" s="7">
        <v>1287</v>
      </c>
      <c r="E343" s="27">
        <v>5</v>
      </c>
      <c r="F343" s="27">
        <v>125</v>
      </c>
      <c r="G343" s="27">
        <v>160875</v>
      </c>
      <c r="H343" s="27">
        <v>156048.75</v>
      </c>
      <c r="I343" s="27">
        <v>1608.75</v>
      </c>
      <c r="J343" s="7" t="s">
        <v>220</v>
      </c>
    </row>
    <row r="344" spans="1:10" hidden="1" x14ac:dyDescent="0.25">
      <c r="A344" s="7" t="s">
        <v>224</v>
      </c>
      <c r="B344" s="7" t="s">
        <v>215</v>
      </c>
      <c r="C344" s="7" t="s">
        <v>221</v>
      </c>
      <c r="D344" s="7">
        <v>1706</v>
      </c>
      <c r="E344" s="27">
        <v>5</v>
      </c>
      <c r="F344" s="27">
        <v>125</v>
      </c>
      <c r="G344" s="27">
        <v>213250</v>
      </c>
      <c r="H344" s="27">
        <v>206852.5</v>
      </c>
      <c r="I344" s="27">
        <v>2132.5</v>
      </c>
      <c r="J344" s="7" t="s">
        <v>220</v>
      </c>
    </row>
    <row r="345" spans="1:10" hidden="1" x14ac:dyDescent="0.25">
      <c r="A345" s="7" t="s">
        <v>226</v>
      </c>
      <c r="B345" s="7" t="s">
        <v>217</v>
      </c>
      <c r="C345" s="7" t="s">
        <v>231</v>
      </c>
      <c r="D345" s="7">
        <v>2434.5</v>
      </c>
      <c r="E345" s="27">
        <v>10</v>
      </c>
      <c r="F345" s="27">
        <v>300</v>
      </c>
      <c r="G345" s="27">
        <v>730350</v>
      </c>
      <c r="H345" s="27">
        <v>708439.5</v>
      </c>
      <c r="I345" s="27">
        <v>99814.5</v>
      </c>
      <c r="J345" s="7" t="s">
        <v>214</v>
      </c>
    </row>
    <row r="346" spans="1:10" hidden="1" x14ac:dyDescent="0.25">
      <c r="A346" s="7" t="s">
        <v>224</v>
      </c>
      <c r="B346" s="7" t="s">
        <v>212</v>
      </c>
      <c r="C346" s="7" t="s">
        <v>231</v>
      </c>
      <c r="D346" s="7">
        <v>1774</v>
      </c>
      <c r="E346" s="27">
        <v>10</v>
      </c>
      <c r="F346" s="27">
        <v>125</v>
      </c>
      <c r="G346" s="27">
        <v>221750</v>
      </c>
      <c r="H346" s="27">
        <v>215097.5</v>
      </c>
      <c r="I346" s="27">
        <v>2217.5</v>
      </c>
      <c r="J346" s="7" t="s">
        <v>222</v>
      </c>
    </row>
    <row r="347" spans="1:10" hidden="1" x14ac:dyDescent="0.25">
      <c r="A347" s="7" t="s">
        <v>223</v>
      </c>
      <c r="B347" s="7" t="s">
        <v>217</v>
      </c>
      <c r="C347" s="7" t="s">
        <v>231</v>
      </c>
      <c r="D347" s="7">
        <v>1901</v>
      </c>
      <c r="E347" s="27">
        <v>10</v>
      </c>
      <c r="F347" s="27">
        <v>12</v>
      </c>
      <c r="G347" s="27">
        <v>22812</v>
      </c>
      <c r="H347" s="27">
        <v>22127.64</v>
      </c>
      <c r="I347" s="27">
        <v>16424.64</v>
      </c>
      <c r="J347" s="7" t="s">
        <v>218</v>
      </c>
    </row>
    <row r="348" spans="1:10" hidden="1" x14ac:dyDescent="0.25">
      <c r="A348" s="7" t="s">
        <v>226</v>
      </c>
      <c r="B348" s="7" t="s">
        <v>215</v>
      </c>
      <c r="C348" s="7" t="s">
        <v>231</v>
      </c>
      <c r="D348" s="7">
        <v>689</v>
      </c>
      <c r="E348" s="27">
        <v>10</v>
      </c>
      <c r="F348" s="27">
        <v>300</v>
      </c>
      <c r="G348" s="27">
        <v>206700</v>
      </c>
      <c r="H348" s="27">
        <v>200499</v>
      </c>
      <c r="I348" s="27">
        <v>28249</v>
      </c>
      <c r="J348" s="7" t="s">
        <v>218</v>
      </c>
    </row>
    <row r="349" spans="1:10" hidden="1" x14ac:dyDescent="0.25">
      <c r="A349" s="7" t="s">
        <v>224</v>
      </c>
      <c r="B349" s="7" t="s">
        <v>215</v>
      </c>
      <c r="C349" s="7" t="s">
        <v>231</v>
      </c>
      <c r="D349" s="7">
        <v>1570</v>
      </c>
      <c r="E349" s="27">
        <v>10</v>
      </c>
      <c r="F349" s="27">
        <v>125</v>
      </c>
      <c r="G349" s="27">
        <v>196250</v>
      </c>
      <c r="H349" s="27">
        <v>190362.5</v>
      </c>
      <c r="I349" s="27">
        <v>1962.5</v>
      </c>
      <c r="J349" s="7" t="s">
        <v>218</v>
      </c>
    </row>
    <row r="350" spans="1:10" x14ac:dyDescent="0.25">
      <c r="A350" s="7" t="s">
        <v>223</v>
      </c>
      <c r="B350" s="7" t="s">
        <v>230</v>
      </c>
      <c r="C350" s="7" t="s">
        <v>231</v>
      </c>
      <c r="D350" s="7">
        <v>1369.5</v>
      </c>
      <c r="E350" s="27">
        <v>10</v>
      </c>
      <c r="F350" s="27">
        <v>12</v>
      </c>
      <c r="G350" s="27">
        <v>16434</v>
      </c>
      <c r="H350" s="27">
        <v>15940.98</v>
      </c>
      <c r="I350" s="27">
        <v>11832.48</v>
      </c>
      <c r="J350" s="7" t="s">
        <v>225</v>
      </c>
    </row>
    <row r="351" spans="1:10" hidden="1" x14ac:dyDescent="0.25">
      <c r="A351" s="7" t="s">
        <v>224</v>
      </c>
      <c r="B351" s="7" t="s">
        <v>212</v>
      </c>
      <c r="C351" s="7" t="s">
        <v>231</v>
      </c>
      <c r="D351" s="7">
        <v>2009</v>
      </c>
      <c r="E351" s="27">
        <v>10</v>
      </c>
      <c r="F351" s="27">
        <v>125</v>
      </c>
      <c r="G351" s="27">
        <v>251125</v>
      </c>
      <c r="H351" s="27">
        <v>243591.25</v>
      </c>
      <c r="I351" s="27">
        <v>2511.25</v>
      </c>
      <c r="J351" s="7" t="s">
        <v>234</v>
      </c>
    </row>
    <row r="352" spans="1:10" hidden="1" x14ac:dyDescent="0.25">
      <c r="A352" s="7" t="s">
        <v>216</v>
      </c>
      <c r="B352" s="7" t="s">
        <v>215</v>
      </c>
      <c r="C352" s="7" t="s">
        <v>231</v>
      </c>
      <c r="D352" s="7">
        <v>1945</v>
      </c>
      <c r="E352" s="27">
        <v>10</v>
      </c>
      <c r="F352" s="27">
        <v>15</v>
      </c>
      <c r="G352" s="27">
        <v>29175</v>
      </c>
      <c r="H352" s="27">
        <v>28299.75</v>
      </c>
      <c r="I352" s="27">
        <v>8849.75</v>
      </c>
      <c r="J352" s="7" t="s">
        <v>229</v>
      </c>
    </row>
    <row r="353" spans="1:10" hidden="1" x14ac:dyDescent="0.25">
      <c r="A353" s="7" t="s">
        <v>224</v>
      </c>
      <c r="B353" s="7" t="s">
        <v>217</v>
      </c>
      <c r="C353" s="7" t="s">
        <v>231</v>
      </c>
      <c r="D353" s="7">
        <v>1287</v>
      </c>
      <c r="E353" s="27">
        <v>10</v>
      </c>
      <c r="F353" s="27">
        <v>125</v>
      </c>
      <c r="G353" s="27">
        <v>160875</v>
      </c>
      <c r="H353" s="27">
        <v>156048.75</v>
      </c>
      <c r="I353" s="27">
        <v>1608.75</v>
      </c>
      <c r="J353" s="7" t="s">
        <v>220</v>
      </c>
    </row>
    <row r="354" spans="1:10" hidden="1" x14ac:dyDescent="0.25">
      <c r="A354" s="7" t="s">
        <v>224</v>
      </c>
      <c r="B354" s="7" t="s">
        <v>215</v>
      </c>
      <c r="C354" s="7" t="s">
        <v>231</v>
      </c>
      <c r="D354" s="7">
        <v>1706</v>
      </c>
      <c r="E354" s="27">
        <v>10</v>
      </c>
      <c r="F354" s="27">
        <v>125</v>
      </c>
      <c r="G354" s="27">
        <v>213250</v>
      </c>
      <c r="H354" s="27">
        <v>206852.5</v>
      </c>
      <c r="I354" s="27">
        <v>2132.5</v>
      </c>
      <c r="J354" s="7" t="s">
        <v>220</v>
      </c>
    </row>
    <row r="355" spans="1:10" hidden="1" x14ac:dyDescent="0.25">
      <c r="A355" s="7" t="s">
        <v>224</v>
      </c>
      <c r="B355" s="7" t="s">
        <v>212</v>
      </c>
      <c r="C355" s="7" t="s">
        <v>237</v>
      </c>
      <c r="D355" s="7">
        <v>2009</v>
      </c>
      <c r="E355" s="27">
        <v>120</v>
      </c>
      <c r="F355" s="27">
        <v>125</v>
      </c>
      <c r="G355" s="27">
        <v>251125</v>
      </c>
      <c r="H355" s="27">
        <v>243591.25</v>
      </c>
      <c r="I355" s="27">
        <v>2511.25</v>
      </c>
      <c r="J355" s="7" t="s">
        <v>234</v>
      </c>
    </row>
    <row r="356" spans="1:10" x14ac:dyDescent="0.25">
      <c r="A356" s="7" t="s">
        <v>226</v>
      </c>
      <c r="B356" s="7" t="s">
        <v>230</v>
      </c>
      <c r="C356" s="7" t="s">
        <v>238</v>
      </c>
      <c r="D356" s="7">
        <v>2844</v>
      </c>
      <c r="E356" s="27">
        <v>250</v>
      </c>
      <c r="F356" s="27">
        <v>300</v>
      </c>
      <c r="G356" s="27">
        <v>853200</v>
      </c>
      <c r="H356" s="27">
        <v>827604</v>
      </c>
      <c r="I356" s="27">
        <v>116604</v>
      </c>
      <c r="J356" s="7" t="s">
        <v>232</v>
      </c>
    </row>
    <row r="357" spans="1:10" hidden="1" x14ac:dyDescent="0.25">
      <c r="A357" s="7" t="s">
        <v>223</v>
      </c>
      <c r="B357" s="7" t="s">
        <v>219</v>
      </c>
      <c r="C357" s="7" t="s">
        <v>238</v>
      </c>
      <c r="D357" s="7">
        <v>1916</v>
      </c>
      <c r="E357" s="27">
        <v>250</v>
      </c>
      <c r="F357" s="27">
        <v>12</v>
      </c>
      <c r="G357" s="27">
        <v>22992</v>
      </c>
      <c r="H357" s="27">
        <v>22302.240000000002</v>
      </c>
      <c r="I357" s="27">
        <v>16554.240000000002</v>
      </c>
      <c r="J357" s="7" t="s">
        <v>239</v>
      </c>
    </row>
    <row r="358" spans="1:10" hidden="1" x14ac:dyDescent="0.25">
      <c r="A358" s="7" t="s">
        <v>224</v>
      </c>
      <c r="B358" s="7" t="s">
        <v>215</v>
      </c>
      <c r="C358" s="7" t="s">
        <v>238</v>
      </c>
      <c r="D358" s="7">
        <v>1570</v>
      </c>
      <c r="E358" s="27">
        <v>250</v>
      </c>
      <c r="F358" s="27">
        <v>125</v>
      </c>
      <c r="G358" s="27">
        <v>196250</v>
      </c>
      <c r="H358" s="27">
        <v>190362.5</v>
      </c>
      <c r="I358" s="27">
        <v>1962.5</v>
      </c>
      <c r="J358" s="7" t="s">
        <v>218</v>
      </c>
    </row>
    <row r="359" spans="1:10" hidden="1" x14ac:dyDescent="0.25">
      <c r="A359" s="7" t="s">
        <v>226</v>
      </c>
      <c r="B359" s="7" t="s">
        <v>212</v>
      </c>
      <c r="C359" s="7" t="s">
        <v>238</v>
      </c>
      <c r="D359" s="7">
        <v>1874</v>
      </c>
      <c r="E359" s="27">
        <v>250</v>
      </c>
      <c r="F359" s="27">
        <v>300</v>
      </c>
      <c r="G359" s="27">
        <v>562200</v>
      </c>
      <c r="H359" s="27">
        <v>545334</v>
      </c>
      <c r="I359" s="27">
        <v>76834</v>
      </c>
      <c r="J359" s="7" t="s">
        <v>227</v>
      </c>
    </row>
    <row r="360" spans="1:10" hidden="1" x14ac:dyDescent="0.25">
      <c r="A360" s="7" t="s">
        <v>211</v>
      </c>
      <c r="B360" s="7" t="s">
        <v>219</v>
      </c>
      <c r="C360" s="7" t="s">
        <v>238</v>
      </c>
      <c r="D360" s="7">
        <v>1642</v>
      </c>
      <c r="E360" s="27">
        <v>250</v>
      </c>
      <c r="F360" s="27">
        <v>350</v>
      </c>
      <c r="G360" s="27">
        <v>574700</v>
      </c>
      <c r="H360" s="27">
        <v>557459</v>
      </c>
      <c r="I360" s="27">
        <v>130539</v>
      </c>
      <c r="J360" s="7" t="s">
        <v>227</v>
      </c>
    </row>
    <row r="361" spans="1:10" hidden="1" x14ac:dyDescent="0.25">
      <c r="A361" s="7" t="s">
        <v>216</v>
      </c>
      <c r="B361" s="7" t="s">
        <v>215</v>
      </c>
      <c r="C361" s="7" t="s">
        <v>238</v>
      </c>
      <c r="D361" s="7">
        <v>1945</v>
      </c>
      <c r="E361" s="27">
        <v>250</v>
      </c>
      <c r="F361" s="27">
        <v>15</v>
      </c>
      <c r="G361" s="27">
        <v>29175</v>
      </c>
      <c r="H361" s="27">
        <v>28299.75</v>
      </c>
      <c r="I361" s="27">
        <v>8849.75</v>
      </c>
      <c r="J361" s="7" t="s">
        <v>229</v>
      </c>
    </row>
    <row r="362" spans="1:10" hidden="1" x14ac:dyDescent="0.25">
      <c r="A362" s="7" t="s">
        <v>211</v>
      </c>
      <c r="B362" s="7" t="s">
        <v>212</v>
      </c>
      <c r="C362" s="7" t="s">
        <v>213</v>
      </c>
      <c r="D362" s="7">
        <v>831</v>
      </c>
      <c r="E362" s="27">
        <v>3</v>
      </c>
      <c r="F362" s="27">
        <v>20</v>
      </c>
      <c r="G362" s="27">
        <v>16620</v>
      </c>
      <c r="H362" s="27">
        <v>16121.4</v>
      </c>
      <c r="I362" s="27">
        <v>7811.4</v>
      </c>
      <c r="J362" s="7" t="s">
        <v>241</v>
      </c>
    </row>
    <row r="363" spans="1:10" hidden="1" x14ac:dyDescent="0.25">
      <c r="A363" s="7" t="s">
        <v>211</v>
      </c>
      <c r="B363" s="7" t="s">
        <v>219</v>
      </c>
      <c r="C363" s="7" t="s">
        <v>231</v>
      </c>
      <c r="D363" s="7">
        <v>1760</v>
      </c>
      <c r="E363" s="27">
        <v>10</v>
      </c>
      <c r="F363" s="27">
        <v>7</v>
      </c>
      <c r="G363" s="27">
        <v>12320</v>
      </c>
      <c r="H363" s="27">
        <v>11950.4</v>
      </c>
      <c r="I363" s="27">
        <v>3150.3999999999996</v>
      </c>
      <c r="J363" s="7" t="s">
        <v>233</v>
      </c>
    </row>
    <row r="364" spans="1:10" hidden="1" x14ac:dyDescent="0.25">
      <c r="A364" s="7" t="s">
        <v>211</v>
      </c>
      <c r="B364" s="7" t="s">
        <v>212</v>
      </c>
      <c r="C364" s="7" t="s">
        <v>237</v>
      </c>
      <c r="D364" s="7">
        <v>3850.5</v>
      </c>
      <c r="E364" s="27">
        <v>120</v>
      </c>
      <c r="F364" s="27">
        <v>20</v>
      </c>
      <c r="G364" s="27">
        <v>77010</v>
      </c>
      <c r="H364" s="27">
        <v>74699.700000000012</v>
      </c>
      <c r="I364" s="27">
        <v>36194.700000000004</v>
      </c>
      <c r="J364" s="7" t="s">
        <v>239</v>
      </c>
    </row>
    <row r="365" spans="1:10" hidden="1" x14ac:dyDescent="0.25">
      <c r="A365" s="7" t="s">
        <v>223</v>
      </c>
      <c r="B365" s="7" t="s">
        <v>215</v>
      </c>
      <c r="C365" s="7" t="s">
        <v>238</v>
      </c>
      <c r="D365" s="7">
        <v>2479</v>
      </c>
      <c r="E365" s="27">
        <v>250</v>
      </c>
      <c r="F365" s="27">
        <v>12</v>
      </c>
      <c r="G365" s="27">
        <v>29748</v>
      </c>
      <c r="H365" s="27">
        <v>28855.56</v>
      </c>
      <c r="I365" s="27">
        <v>21418.560000000001</v>
      </c>
      <c r="J365" s="7" t="s">
        <v>214</v>
      </c>
    </row>
    <row r="366" spans="1:10" hidden="1" x14ac:dyDescent="0.25">
      <c r="A366" s="7" t="s">
        <v>216</v>
      </c>
      <c r="B366" s="7" t="s">
        <v>219</v>
      </c>
      <c r="C366" s="7" t="s">
        <v>221</v>
      </c>
      <c r="D366" s="7">
        <v>2031</v>
      </c>
      <c r="E366" s="27">
        <v>5</v>
      </c>
      <c r="F366" s="27">
        <v>15</v>
      </c>
      <c r="G366" s="27">
        <v>30465</v>
      </c>
      <c r="H366" s="27">
        <v>29246.400000000001</v>
      </c>
      <c r="I366" s="27">
        <v>8936.4000000000015</v>
      </c>
      <c r="J366" s="7" t="s">
        <v>234</v>
      </c>
    </row>
    <row r="367" spans="1:10" hidden="1" x14ac:dyDescent="0.25">
      <c r="A367" s="7" t="s">
        <v>216</v>
      </c>
      <c r="B367" s="7" t="s">
        <v>219</v>
      </c>
      <c r="C367" s="7" t="s">
        <v>231</v>
      </c>
      <c r="D367" s="7">
        <v>2031</v>
      </c>
      <c r="E367" s="27">
        <v>10</v>
      </c>
      <c r="F367" s="27">
        <v>15</v>
      </c>
      <c r="G367" s="27">
        <v>30465</v>
      </c>
      <c r="H367" s="27">
        <v>29246.400000000001</v>
      </c>
      <c r="I367" s="27">
        <v>8936.4000000000015</v>
      </c>
      <c r="J367" s="7" t="s">
        <v>234</v>
      </c>
    </row>
    <row r="368" spans="1:10" hidden="1" x14ac:dyDescent="0.25">
      <c r="A368" s="7" t="s">
        <v>216</v>
      </c>
      <c r="B368" s="7" t="s">
        <v>217</v>
      </c>
      <c r="C368" s="7" t="s">
        <v>231</v>
      </c>
      <c r="D368" s="7">
        <v>2261</v>
      </c>
      <c r="E368" s="27">
        <v>10</v>
      </c>
      <c r="F368" s="27">
        <v>15</v>
      </c>
      <c r="G368" s="27">
        <v>33915</v>
      </c>
      <c r="H368" s="27">
        <v>32558.400000000001</v>
      </c>
      <c r="I368" s="27">
        <v>9948.4000000000015</v>
      </c>
      <c r="J368" s="7" t="s">
        <v>236</v>
      </c>
    </row>
    <row r="369" spans="1:10" x14ac:dyDescent="0.25">
      <c r="A369" s="7" t="s">
        <v>211</v>
      </c>
      <c r="B369" s="7" t="s">
        <v>230</v>
      </c>
      <c r="C369" s="7" t="s">
        <v>237</v>
      </c>
      <c r="D369" s="7">
        <v>736</v>
      </c>
      <c r="E369" s="27">
        <v>120</v>
      </c>
      <c r="F369" s="27">
        <v>20</v>
      </c>
      <c r="G369" s="27">
        <v>14720</v>
      </c>
      <c r="H369" s="27">
        <v>14131.2</v>
      </c>
      <c r="I369" s="27">
        <v>6771.2000000000007</v>
      </c>
      <c r="J369" s="7" t="s">
        <v>233</v>
      </c>
    </row>
    <row r="370" spans="1:10" hidden="1" x14ac:dyDescent="0.25">
      <c r="A370" s="7" t="s">
        <v>211</v>
      </c>
      <c r="B370" s="7" t="s">
        <v>212</v>
      </c>
      <c r="C370" s="7" t="s">
        <v>213</v>
      </c>
      <c r="D370" s="7">
        <v>2851</v>
      </c>
      <c r="E370" s="27">
        <v>3</v>
      </c>
      <c r="F370" s="27">
        <v>7</v>
      </c>
      <c r="G370" s="27">
        <v>19957</v>
      </c>
      <c r="H370" s="27">
        <v>19158.72</v>
      </c>
      <c r="I370" s="27">
        <v>4903.7200000000012</v>
      </c>
      <c r="J370" s="7" t="s">
        <v>229</v>
      </c>
    </row>
    <row r="371" spans="1:10" hidden="1" x14ac:dyDescent="0.25">
      <c r="A371" s="7" t="s">
        <v>226</v>
      </c>
      <c r="B371" s="7" t="s">
        <v>215</v>
      </c>
      <c r="C371" s="7" t="s">
        <v>213</v>
      </c>
      <c r="D371" s="7">
        <v>2021</v>
      </c>
      <c r="E371" s="27">
        <v>3</v>
      </c>
      <c r="F371" s="27">
        <v>300</v>
      </c>
      <c r="G371" s="27">
        <v>606300</v>
      </c>
      <c r="H371" s="27">
        <v>582048</v>
      </c>
      <c r="I371" s="27">
        <v>76798</v>
      </c>
      <c r="J371" s="7" t="s">
        <v>234</v>
      </c>
    </row>
    <row r="372" spans="1:10" x14ac:dyDescent="0.25">
      <c r="A372" s="7" t="s">
        <v>211</v>
      </c>
      <c r="B372" s="7" t="s">
        <v>230</v>
      </c>
      <c r="C372" s="7" t="s">
        <v>213</v>
      </c>
      <c r="D372" s="7">
        <v>274</v>
      </c>
      <c r="E372" s="27">
        <v>3</v>
      </c>
      <c r="F372" s="27">
        <v>350</v>
      </c>
      <c r="G372" s="27">
        <v>95900</v>
      </c>
      <c r="H372" s="27">
        <v>92064</v>
      </c>
      <c r="I372" s="27">
        <v>20824</v>
      </c>
      <c r="J372" s="7" t="s">
        <v>220</v>
      </c>
    </row>
    <row r="373" spans="1:10" hidden="1" x14ac:dyDescent="0.25">
      <c r="A373" s="7" t="s">
        <v>216</v>
      </c>
      <c r="B373" s="7" t="s">
        <v>212</v>
      </c>
      <c r="C373" s="7" t="s">
        <v>221</v>
      </c>
      <c r="D373" s="7">
        <v>1967</v>
      </c>
      <c r="E373" s="27">
        <v>5</v>
      </c>
      <c r="F373" s="27">
        <v>15</v>
      </c>
      <c r="G373" s="27">
        <v>29505</v>
      </c>
      <c r="H373" s="27">
        <v>28324.799999999999</v>
      </c>
      <c r="I373" s="27">
        <v>8654.7999999999993</v>
      </c>
      <c r="J373" s="7" t="s">
        <v>222</v>
      </c>
    </row>
    <row r="374" spans="1:10" hidden="1" x14ac:dyDescent="0.25">
      <c r="A374" s="7" t="s">
        <v>226</v>
      </c>
      <c r="B374" s="7" t="s">
        <v>215</v>
      </c>
      <c r="C374" s="7" t="s">
        <v>221</v>
      </c>
      <c r="D374" s="7">
        <v>1859</v>
      </c>
      <c r="E374" s="27">
        <v>5</v>
      </c>
      <c r="F374" s="27">
        <v>300</v>
      </c>
      <c r="G374" s="27">
        <v>557700</v>
      </c>
      <c r="H374" s="27">
        <v>535392</v>
      </c>
      <c r="I374" s="27">
        <v>70642</v>
      </c>
      <c r="J374" s="7" t="s">
        <v>227</v>
      </c>
    </row>
    <row r="375" spans="1:10" hidden="1" x14ac:dyDescent="0.25">
      <c r="A375" s="7" t="s">
        <v>211</v>
      </c>
      <c r="B375" s="7" t="s">
        <v>212</v>
      </c>
      <c r="C375" s="7" t="s">
        <v>221</v>
      </c>
      <c r="D375" s="7">
        <v>2851</v>
      </c>
      <c r="E375" s="27">
        <v>5</v>
      </c>
      <c r="F375" s="27">
        <v>7</v>
      </c>
      <c r="G375" s="27">
        <v>19957</v>
      </c>
      <c r="H375" s="27">
        <v>19158.72</v>
      </c>
      <c r="I375" s="27">
        <v>4903.7200000000012</v>
      </c>
      <c r="J375" s="7" t="s">
        <v>229</v>
      </c>
    </row>
    <row r="376" spans="1:10" hidden="1" x14ac:dyDescent="0.25">
      <c r="A376" s="7" t="s">
        <v>226</v>
      </c>
      <c r="B376" s="7" t="s">
        <v>215</v>
      </c>
      <c r="C376" s="7" t="s">
        <v>221</v>
      </c>
      <c r="D376" s="7">
        <v>2021</v>
      </c>
      <c r="E376" s="27">
        <v>5</v>
      </c>
      <c r="F376" s="27">
        <v>300</v>
      </c>
      <c r="G376" s="27">
        <v>606300</v>
      </c>
      <c r="H376" s="27">
        <v>582048</v>
      </c>
      <c r="I376" s="27">
        <v>76798</v>
      </c>
      <c r="J376" s="7" t="s">
        <v>234</v>
      </c>
    </row>
    <row r="377" spans="1:10" hidden="1" x14ac:dyDescent="0.25">
      <c r="A377" s="7" t="s">
        <v>224</v>
      </c>
      <c r="B377" s="7" t="s">
        <v>219</v>
      </c>
      <c r="C377" s="7" t="s">
        <v>221</v>
      </c>
      <c r="D377" s="7">
        <v>1138</v>
      </c>
      <c r="E377" s="27">
        <v>5</v>
      </c>
      <c r="F377" s="27">
        <v>125</v>
      </c>
      <c r="G377" s="27">
        <v>142250</v>
      </c>
      <c r="H377" s="27">
        <v>136560</v>
      </c>
      <c r="I377" s="27">
        <v>0</v>
      </c>
      <c r="J377" s="7" t="s">
        <v>220</v>
      </c>
    </row>
    <row r="378" spans="1:10" hidden="1" x14ac:dyDescent="0.25">
      <c r="A378" s="7" t="s">
        <v>211</v>
      </c>
      <c r="B378" s="7" t="s">
        <v>212</v>
      </c>
      <c r="C378" s="7" t="s">
        <v>231</v>
      </c>
      <c r="D378" s="7">
        <v>4251</v>
      </c>
      <c r="E378" s="27">
        <v>10</v>
      </c>
      <c r="F378" s="27">
        <v>7</v>
      </c>
      <c r="G378" s="27">
        <v>29757</v>
      </c>
      <c r="H378" s="27">
        <v>28566.720000000001</v>
      </c>
      <c r="I378" s="27">
        <v>7311.7199999999993</v>
      </c>
      <c r="J378" s="7" t="s">
        <v>214</v>
      </c>
    </row>
    <row r="379" spans="1:10" hidden="1" x14ac:dyDescent="0.25">
      <c r="A379" s="7" t="s">
        <v>224</v>
      </c>
      <c r="B379" s="7" t="s">
        <v>215</v>
      </c>
      <c r="C379" s="7" t="s">
        <v>231</v>
      </c>
      <c r="D379" s="7">
        <v>795</v>
      </c>
      <c r="E379" s="27">
        <v>10</v>
      </c>
      <c r="F379" s="27">
        <v>125</v>
      </c>
      <c r="G379" s="27">
        <v>99375</v>
      </c>
      <c r="H379" s="27">
        <v>95400</v>
      </c>
      <c r="I379" s="27">
        <v>0</v>
      </c>
      <c r="J379" s="7" t="s">
        <v>222</v>
      </c>
    </row>
    <row r="380" spans="1:10" hidden="1" x14ac:dyDescent="0.25">
      <c r="A380" s="7" t="s">
        <v>226</v>
      </c>
      <c r="B380" s="7" t="s">
        <v>215</v>
      </c>
      <c r="C380" s="7" t="s">
        <v>231</v>
      </c>
      <c r="D380" s="7">
        <v>1414.5</v>
      </c>
      <c r="E380" s="27">
        <v>10</v>
      </c>
      <c r="F380" s="27">
        <v>300</v>
      </c>
      <c r="G380" s="27">
        <v>424350</v>
      </c>
      <c r="H380" s="27">
        <v>407376</v>
      </c>
      <c r="I380" s="27">
        <v>53751</v>
      </c>
      <c r="J380" s="7" t="s">
        <v>239</v>
      </c>
    </row>
    <row r="381" spans="1:10" x14ac:dyDescent="0.25">
      <c r="A381" s="7" t="s">
        <v>226</v>
      </c>
      <c r="B381" s="7" t="s">
        <v>230</v>
      </c>
      <c r="C381" s="7" t="s">
        <v>231</v>
      </c>
      <c r="D381" s="7">
        <v>2918</v>
      </c>
      <c r="E381" s="27">
        <v>10</v>
      </c>
      <c r="F381" s="27">
        <v>300</v>
      </c>
      <c r="G381" s="27">
        <v>875400</v>
      </c>
      <c r="H381" s="27">
        <v>840384</v>
      </c>
      <c r="I381" s="27">
        <v>110884</v>
      </c>
      <c r="J381" s="7" t="s">
        <v>241</v>
      </c>
    </row>
    <row r="382" spans="1:10" x14ac:dyDescent="0.25">
      <c r="A382" s="7" t="s">
        <v>211</v>
      </c>
      <c r="B382" s="7" t="s">
        <v>230</v>
      </c>
      <c r="C382" s="7" t="s">
        <v>231</v>
      </c>
      <c r="D382" s="7">
        <v>3450</v>
      </c>
      <c r="E382" s="27">
        <v>10</v>
      </c>
      <c r="F382" s="27">
        <v>350</v>
      </c>
      <c r="G382" s="27">
        <v>1207500</v>
      </c>
      <c r="H382" s="27">
        <v>1159200</v>
      </c>
      <c r="I382" s="27">
        <v>262200</v>
      </c>
      <c r="J382" s="7" t="s">
        <v>225</v>
      </c>
    </row>
    <row r="383" spans="1:10" hidden="1" x14ac:dyDescent="0.25">
      <c r="A383" s="7" t="s">
        <v>224</v>
      </c>
      <c r="B383" s="7" t="s">
        <v>217</v>
      </c>
      <c r="C383" s="7" t="s">
        <v>231</v>
      </c>
      <c r="D383" s="7">
        <v>2988</v>
      </c>
      <c r="E383" s="27">
        <v>10</v>
      </c>
      <c r="F383" s="27">
        <v>125</v>
      </c>
      <c r="G383" s="27">
        <v>373500</v>
      </c>
      <c r="H383" s="27">
        <v>358560</v>
      </c>
      <c r="I383" s="27">
        <v>0</v>
      </c>
      <c r="J383" s="7" t="s">
        <v>225</v>
      </c>
    </row>
    <row r="384" spans="1:10" hidden="1" x14ac:dyDescent="0.25">
      <c r="A384" s="7" t="s">
        <v>216</v>
      </c>
      <c r="B384" s="7" t="s">
        <v>212</v>
      </c>
      <c r="C384" s="7" t="s">
        <v>231</v>
      </c>
      <c r="D384" s="7">
        <v>218</v>
      </c>
      <c r="E384" s="27">
        <v>10</v>
      </c>
      <c r="F384" s="27">
        <v>15</v>
      </c>
      <c r="G384" s="27">
        <v>3270</v>
      </c>
      <c r="H384" s="27">
        <v>3139.2</v>
      </c>
      <c r="I384" s="27">
        <v>959.19999999999982</v>
      </c>
      <c r="J384" s="7" t="s">
        <v>228</v>
      </c>
    </row>
    <row r="385" spans="1:10" hidden="1" x14ac:dyDescent="0.25">
      <c r="A385" s="7" t="s">
        <v>211</v>
      </c>
      <c r="B385" s="7" t="s">
        <v>212</v>
      </c>
      <c r="C385" s="7" t="s">
        <v>231</v>
      </c>
      <c r="D385" s="7">
        <v>2074</v>
      </c>
      <c r="E385" s="27">
        <v>10</v>
      </c>
      <c r="F385" s="27">
        <v>20</v>
      </c>
      <c r="G385" s="27">
        <v>41480</v>
      </c>
      <c r="H385" s="27">
        <v>39820.800000000003</v>
      </c>
      <c r="I385" s="27">
        <v>19080.800000000003</v>
      </c>
      <c r="J385" s="7" t="s">
        <v>228</v>
      </c>
    </row>
    <row r="386" spans="1:10" x14ac:dyDescent="0.25">
      <c r="A386" s="7" t="s">
        <v>211</v>
      </c>
      <c r="B386" s="7" t="s">
        <v>230</v>
      </c>
      <c r="C386" s="7" t="s">
        <v>231</v>
      </c>
      <c r="D386" s="7">
        <v>1056</v>
      </c>
      <c r="E386" s="27">
        <v>10</v>
      </c>
      <c r="F386" s="27">
        <v>20</v>
      </c>
      <c r="G386" s="27">
        <v>21120</v>
      </c>
      <c r="H386" s="27">
        <v>20275.2</v>
      </c>
      <c r="I386" s="27">
        <v>9715.2000000000007</v>
      </c>
      <c r="J386" s="7" t="s">
        <v>228</v>
      </c>
    </row>
    <row r="387" spans="1:10" x14ac:dyDescent="0.25">
      <c r="A387" s="7" t="s">
        <v>216</v>
      </c>
      <c r="B387" s="7" t="s">
        <v>230</v>
      </c>
      <c r="C387" s="7" t="s">
        <v>231</v>
      </c>
      <c r="D387" s="7">
        <v>671</v>
      </c>
      <c r="E387" s="27">
        <v>10</v>
      </c>
      <c r="F387" s="27">
        <v>15</v>
      </c>
      <c r="G387" s="27">
        <v>10065</v>
      </c>
      <c r="H387" s="27">
        <v>9662.4</v>
      </c>
      <c r="I387" s="27">
        <v>2952.3999999999996</v>
      </c>
      <c r="J387" s="7" t="s">
        <v>229</v>
      </c>
    </row>
    <row r="388" spans="1:10" hidden="1" x14ac:dyDescent="0.25">
      <c r="A388" s="7" t="s">
        <v>216</v>
      </c>
      <c r="B388" s="7" t="s">
        <v>219</v>
      </c>
      <c r="C388" s="7" t="s">
        <v>231</v>
      </c>
      <c r="D388" s="7">
        <v>1514</v>
      </c>
      <c r="E388" s="27">
        <v>10</v>
      </c>
      <c r="F388" s="27">
        <v>15</v>
      </c>
      <c r="G388" s="27">
        <v>22710</v>
      </c>
      <c r="H388" s="27">
        <v>21801.599999999999</v>
      </c>
      <c r="I388" s="27">
        <v>6661.5999999999985</v>
      </c>
      <c r="J388" s="7" t="s">
        <v>229</v>
      </c>
    </row>
    <row r="389" spans="1:10" x14ac:dyDescent="0.25">
      <c r="A389" s="7" t="s">
        <v>211</v>
      </c>
      <c r="B389" s="7" t="s">
        <v>230</v>
      </c>
      <c r="C389" s="7" t="s">
        <v>231</v>
      </c>
      <c r="D389" s="7">
        <v>274</v>
      </c>
      <c r="E389" s="27">
        <v>10</v>
      </c>
      <c r="F389" s="27">
        <v>350</v>
      </c>
      <c r="G389" s="27">
        <v>95900</v>
      </c>
      <c r="H389" s="27">
        <v>92064</v>
      </c>
      <c r="I389" s="27">
        <v>20824</v>
      </c>
      <c r="J389" s="7" t="s">
        <v>220</v>
      </c>
    </row>
    <row r="390" spans="1:10" hidden="1" x14ac:dyDescent="0.25">
      <c r="A390" s="7" t="s">
        <v>224</v>
      </c>
      <c r="B390" s="7" t="s">
        <v>219</v>
      </c>
      <c r="C390" s="7" t="s">
        <v>231</v>
      </c>
      <c r="D390" s="7">
        <v>1138</v>
      </c>
      <c r="E390" s="27">
        <v>10</v>
      </c>
      <c r="F390" s="27">
        <v>125</v>
      </c>
      <c r="G390" s="27">
        <v>142250</v>
      </c>
      <c r="H390" s="27">
        <v>136560</v>
      </c>
      <c r="I390" s="27">
        <v>0</v>
      </c>
      <c r="J390" s="7" t="s">
        <v>220</v>
      </c>
    </row>
    <row r="391" spans="1:10" x14ac:dyDescent="0.25">
      <c r="A391" s="7" t="s">
        <v>223</v>
      </c>
      <c r="B391" s="7" t="s">
        <v>230</v>
      </c>
      <c r="C391" s="7" t="s">
        <v>237</v>
      </c>
      <c r="D391" s="7">
        <v>1465</v>
      </c>
      <c r="E391" s="27">
        <v>120</v>
      </c>
      <c r="F391" s="27">
        <v>12</v>
      </c>
      <c r="G391" s="27">
        <v>17580</v>
      </c>
      <c r="H391" s="27">
        <v>16876.8</v>
      </c>
      <c r="I391" s="27">
        <v>12481.8</v>
      </c>
      <c r="J391" s="7" t="s">
        <v>222</v>
      </c>
    </row>
    <row r="392" spans="1:10" hidden="1" x14ac:dyDescent="0.25">
      <c r="A392" s="7" t="s">
        <v>211</v>
      </c>
      <c r="B392" s="7" t="s">
        <v>212</v>
      </c>
      <c r="C392" s="7" t="s">
        <v>237</v>
      </c>
      <c r="D392" s="7">
        <v>2646</v>
      </c>
      <c r="E392" s="27">
        <v>120</v>
      </c>
      <c r="F392" s="27">
        <v>20</v>
      </c>
      <c r="G392" s="27">
        <v>52920</v>
      </c>
      <c r="H392" s="27">
        <v>50803.199999999997</v>
      </c>
      <c r="I392" s="27">
        <v>24343.199999999997</v>
      </c>
      <c r="J392" s="7" t="s">
        <v>233</v>
      </c>
    </row>
    <row r="393" spans="1:10" hidden="1" x14ac:dyDescent="0.25">
      <c r="A393" s="7" t="s">
        <v>211</v>
      </c>
      <c r="B393" s="7" t="s">
        <v>217</v>
      </c>
      <c r="C393" s="7" t="s">
        <v>237</v>
      </c>
      <c r="D393" s="7">
        <v>2177</v>
      </c>
      <c r="E393" s="27">
        <v>120</v>
      </c>
      <c r="F393" s="27">
        <v>350</v>
      </c>
      <c r="G393" s="27">
        <v>761950</v>
      </c>
      <c r="H393" s="27">
        <v>731472</v>
      </c>
      <c r="I393" s="27">
        <v>165452</v>
      </c>
      <c r="J393" s="7" t="s">
        <v>234</v>
      </c>
    </row>
    <row r="394" spans="1:10" hidden="1" x14ac:dyDescent="0.25">
      <c r="A394" s="7" t="s">
        <v>223</v>
      </c>
      <c r="B394" s="7" t="s">
        <v>217</v>
      </c>
      <c r="C394" s="7" t="s">
        <v>238</v>
      </c>
      <c r="D394" s="7">
        <v>866</v>
      </c>
      <c r="E394" s="27">
        <v>250</v>
      </c>
      <c r="F394" s="27">
        <v>12</v>
      </c>
      <c r="G394" s="27">
        <v>10392</v>
      </c>
      <c r="H394" s="27">
        <v>9976.32</v>
      </c>
      <c r="I394" s="27">
        <v>7378.32</v>
      </c>
      <c r="J394" s="7" t="s">
        <v>241</v>
      </c>
    </row>
    <row r="395" spans="1:10" x14ac:dyDescent="0.25">
      <c r="A395" s="7" t="s">
        <v>211</v>
      </c>
      <c r="B395" s="7" t="s">
        <v>230</v>
      </c>
      <c r="C395" s="7" t="s">
        <v>238</v>
      </c>
      <c r="D395" s="7">
        <v>349</v>
      </c>
      <c r="E395" s="27">
        <v>250</v>
      </c>
      <c r="F395" s="27">
        <v>350</v>
      </c>
      <c r="G395" s="27">
        <v>122150</v>
      </c>
      <c r="H395" s="27">
        <v>117264</v>
      </c>
      <c r="I395" s="27">
        <v>26524</v>
      </c>
      <c r="J395" s="7" t="s">
        <v>233</v>
      </c>
    </row>
    <row r="396" spans="1:10" hidden="1" x14ac:dyDescent="0.25">
      <c r="A396" s="7" t="s">
        <v>211</v>
      </c>
      <c r="B396" s="7" t="s">
        <v>217</v>
      </c>
      <c r="C396" s="7" t="s">
        <v>238</v>
      </c>
      <c r="D396" s="7">
        <v>2177</v>
      </c>
      <c r="E396" s="27">
        <v>250</v>
      </c>
      <c r="F396" s="27">
        <v>350</v>
      </c>
      <c r="G396" s="27">
        <v>761950</v>
      </c>
      <c r="H396" s="27">
        <v>731472</v>
      </c>
      <c r="I396" s="27">
        <v>165452</v>
      </c>
      <c r="J396" s="7" t="s">
        <v>234</v>
      </c>
    </row>
    <row r="397" spans="1:10" hidden="1" x14ac:dyDescent="0.25">
      <c r="A397" s="7" t="s">
        <v>216</v>
      </c>
      <c r="B397" s="7" t="s">
        <v>219</v>
      </c>
      <c r="C397" s="7" t="s">
        <v>238</v>
      </c>
      <c r="D397" s="7">
        <v>1514</v>
      </c>
      <c r="E397" s="27">
        <v>250</v>
      </c>
      <c r="F397" s="27">
        <v>15</v>
      </c>
      <c r="G397" s="27">
        <v>22710</v>
      </c>
      <c r="H397" s="27">
        <v>21801.599999999999</v>
      </c>
      <c r="I397" s="27">
        <v>6661.5999999999985</v>
      </c>
      <c r="J397" s="7" t="s">
        <v>229</v>
      </c>
    </row>
    <row r="398" spans="1:10" hidden="1" x14ac:dyDescent="0.25">
      <c r="A398" s="7" t="s">
        <v>211</v>
      </c>
      <c r="B398" s="7" t="s">
        <v>219</v>
      </c>
      <c r="C398" s="7" t="s">
        <v>240</v>
      </c>
      <c r="D398" s="7">
        <v>1865</v>
      </c>
      <c r="E398" s="27">
        <v>260</v>
      </c>
      <c r="F398" s="27">
        <v>350</v>
      </c>
      <c r="G398" s="27">
        <v>652750</v>
      </c>
      <c r="H398" s="27">
        <v>626640</v>
      </c>
      <c r="I398" s="27">
        <v>141740</v>
      </c>
      <c r="J398" s="7" t="s">
        <v>232</v>
      </c>
    </row>
    <row r="399" spans="1:10" hidden="1" x14ac:dyDescent="0.25">
      <c r="A399" s="7" t="s">
        <v>224</v>
      </c>
      <c r="B399" s="7" t="s">
        <v>219</v>
      </c>
      <c r="C399" s="7" t="s">
        <v>240</v>
      </c>
      <c r="D399" s="7">
        <v>1074</v>
      </c>
      <c r="E399" s="27">
        <v>260</v>
      </c>
      <c r="F399" s="27">
        <v>125</v>
      </c>
      <c r="G399" s="27">
        <v>134250</v>
      </c>
      <c r="H399" s="27">
        <v>128880</v>
      </c>
      <c r="I399" s="27">
        <v>0</v>
      </c>
      <c r="J399" s="7" t="s">
        <v>239</v>
      </c>
    </row>
    <row r="400" spans="1:10" hidden="1" x14ac:dyDescent="0.25">
      <c r="A400" s="7" t="s">
        <v>211</v>
      </c>
      <c r="B400" s="7" t="s">
        <v>215</v>
      </c>
      <c r="C400" s="7" t="s">
        <v>240</v>
      </c>
      <c r="D400" s="7">
        <v>1907</v>
      </c>
      <c r="E400" s="27">
        <v>260</v>
      </c>
      <c r="F400" s="27">
        <v>350</v>
      </c>
      <c r="G400" s="27">
        <v>667450</v>
      </c>
      <c r="H400" s="27">
        <v>640752</v>
      </c>
      <c r="I400" s="27">
        <v>144932</v>
      </c>
      <c r="J400" s="7" t="s">
        <v>228</v>
      </c>
    </row>
    <row r="401" spans="1:10" x14ac:dyDescent="0.25">
      <c r="A401" s="7" t="s">
        <v>216</v>
      </c>
      <c r="B401" s="7" t="s">
        <v>230</v>
      </c>
      <c r="C401" s="7" t="s">
        <v>240</v>
      </c>
      <c r="D401" s="7">
        <v>671</v>
      </c>
      <c r="E401" s="27">
        <v>260</v>
      </c>
      <c r="F401" s="27">
        <v>15</v>
      </c>
      <c r="G401" s="27">
        <v>10065</v>
      </c>
      <c r="H401" s="27">
        <v>9662.4</v>
      </c>
      <c r="I401" s="27">
        <v>2952.3999999999996</v>
      </c>
      <c r="J401" s="7" t="s">
        <v>229</v>
      </c>
    </row>
    <row r="402" spans="1:10" hidden="1" x14ac:dyDescent="0.25">
      <c r="A402" s="7" t="s">
        <v>211</v>
      </c>
      <c r="B402" s="7" t="s">
        <v>212</v>
      </c>
      <c r="C402" s="7" t="s">
        <v>240</v>
      </c>
      <c r="D402" s="7">
        <v>1778</v>
      </c>
      <c r="E402" s="27">
        <v>260</v>
      </c>
      <c r="F402" s="27">
        <v>350</v>
      </c>
      <c r="G402" s="27">
        <v>622300</v>
      </c>
      <c r="H402" s="27">
        <v>597408</v>
      </c>
      <c r="I402" s="27">
        <v>135128</v>
      </c>
      <c r="J402" s="7" t="s">
        <v>236</v>
      </c>
    </row>
    <row r="403" spans="1:10" hidden="1" x14ac:dyDescent="0.25">
      <c r="A403" s="7" t="s">
        <v>211</v>
      </c>
      <c r="B403" s="7" t="s">
        <v>215</v>
      </c>
      <c r="C403" s="7" t="s">
        <v>221</v>
      </c>
      <c r="D403" s="7">
        <v>1159</v>
      </c>
      <c r="E403" s="27">
        <v>5</v>
      </c>
      <c r="F403" s="27">
        <v>7</v>
      </c>
      <c r="G403" s="27">
        <v>8113</v>
      </c>
      <c r="H403" s="27">
        <v>7707.35</v>
      </c>
      <c r="I403" s="27">
        <v>1912.3500000000004</v>
      </c>
      <c r="J403" s="7" t="s">
        <v>229</v>
      </c>
    </row>
    <row r="404" spans="1:10" hidden="1" x14ac:dyDescent="0.25">
      <c r="A404" s="7" t="s">
        <v>211</v>
      </c>
      <c r="B404" s="7" t="s">
        <v>215</v>
      </c>
      <c r="C404" s="7" t="s">
        <v>231</v>
      </c>
      <c r="D404" s="7">
        <v>1372</v>
      </c>
      <c r="E404" s="27">
        <v>10</v>
      </c>
      <c r="F404" s="27">
        <v>7</v>
      </c>
      <c r="G404" s="27">
        <v>9604</v>
      </c>
      <c r="H404" s="27">
        <v>9123.7999999999993</v>
      </c>
      <c r="I404" s="27">
        <v>2263.7999999999993</v>
      </c>
      <c r="J404" s="7" t="s">
        <v>214</v>
      </c>
    </row>
    <row r="405" spans="1:10" hidden="1" x14ac:dyDescent="0.25">
      <c r="A405" s="7" t="s">
        <v>211</v>
      </c>
      <c r="B405" s="7" t="s">
        <v>212</v>
      </c>
      <c r="C405" s="7" t="s">
        <v>231</v>
      </c>
      <c r="D405" s="7">
        <v>2349</v>
      </c>
      <c r="E405" s="27">
        <v>10</v>
      </c>
      <c r="F405" s="27">
        <v>7</v>
      </c>
      <c r="G405" s="27">
        <v>16443</v>
      </c>
      <c r="H405" s="27">
        <v>15620.85</v>
      </c>
      <c r="I405" s="27">
        <v>3875.8500000000004</v>
      </c>
      <c r="J405" s="7" t="s">
        <v>233</v>
      </c>
    </row>
    <row r="406" spans="1:10" hidden="1" x14ac:dyDescent="0.25">
      <c r="A406" s="7" t="s">
        <v>211</v>
      </c>
      <c r="B406" s="7" t="s">
        <v>219</v>
      </c>
      <c r="C406" s="7" t="s">
        <v>231</v>
      </c>
      <c r="D406" s="7">
        <v>2689</v>
      </c>
      <c r="E406" s="27">
        <v>10</v>
      </c>
      <c r="F406" s="27">
        <v>7</v>
      </c>
      <c r="G406" s="27">
        <v>18823</v>
      </c>
      <c r="H406" s="27">
        <v>17881.849999999999</v>
      </c>
      <c r="I406" s="27">
        <v>4436.8499999999985</v>
      </c>
      <c r="J406" s="7" t="s">
        <v>234</v>
      </c>
    </row>
    <row r="407" spans="1:10" hidden="1" x14ac:dyDescent="0.25">
      <c r="A407" s="7" t="s">
        <v>223</v>
      </c>
      <c r="B407" s="7" t="s">
        <v>212</v>
      </c>
      <c r="C407" s="7" t="s">
        <v>231</v>
      </c>
      <c r="D407" s="7">
        <v>2431</v>
      </c>
      <c r="E407" s="27">
        <v>10</v>
      </c>
      <c r="F407" s="27">
        <v>12</v>
      </c>
      <c r="G407" s="27">
        <v>29172</v>
      </c>
      <c r="H407" s="27">
        <v>27713.4</v>
      </c>
      <c r="I407" s="27">
        <v>20420.400000000001</v>
      </c>
      <c r="J407" s="7" t="s">
        <v>220</v>
      </c>
    </row>
    <row r="408" spans="1:10" hidden="1" x14ac:dyDescent="0.25">
      <c r="A408" s="7" t="s">
        <v>223</v>
      </c>
      <c r="B408" s="7" t="s">
        <v>212</v>
      </c>
      <c r="C408" s="7" t="s">
        <v>237</v>
      </c>
      <c r="D408" s="7">
        <v>2431</v>
      </c>
      <c r="E408" s="27">
        <v>120</v>
      </c>
      <c r="F408" s="27">
        <v>12</v>
      </c>
      <c r="G408" s="27">
        <v>29172</v>
      </c>
      <c r="H408" s="27">
        <v>27713.4</v>
      </c>
      <c r="I408" s="27">
        <v>20420.400000000001</v>
      </c>
      <c r="J408" s="7" t="s">
        <v>220</v>
      </c>
    </row>
    <row r="409" spans="1:10" hidden="1" x14ac:dyDescent="0.25">
      <c r="A409" s="7" t="s">
        <v>211</v>
      </c>
      <c r="B409" s="7" t="s">
        <v>219</v>
      </c>
      <c r="C409" s="7" t="s">
        <v>238</v>
      </c>
      <c r="D409" s="7">
        <v>2689</v>
      </c>
      <c r="E409" s="27">
        <v>250</v>
      </c>
      <c r="F409" s="27">
        <v>7</v>
      </c>
      <c r="G409" s="27">
        <v>18823</v>
      </c>
      <c r="H409" s="27">
        <v>17881.849999999999</v>
      </c>
      <c r="I409" s="27">
        <v>4436.8499999999985</v>
      </c>
      <c r="J409" s="7" t="s">
        <v>234</v>
      </c>
    </row>
    <row r="410" spans="1:10" hidden="1" x14ac:dyDescent="0.25">
      <c r="A410" s="7" t="s">
        <v>211</v>
      </c>
      <c r="B410" s="7" t="s">
        <v>219</v>
      </c>
      <c r="C410" s="7" t="s">
        <v>240</v>
      </c>
      <c r="D410" s="7">
        <v>1683</v>
      </c>
      <c r="E410" s="27">
        <v>260</v>
      </c>
      <c r="F410" s="27">
        <v>7</v>
      </c>
      <c r="G410" s="27">
        <v>11781</v>
      </c>
      <c r="H410" s="27">
        <v>11191.95</v>
      </c>
      <c r="I410" s="27">
        <v>2776.9500000000007</v>
      </c>
      <c r="J410" s="7" t="s">
        <v>225</v>
      </c>
    </row>
    <row r="411" spans="1:10" hidden="1" x14ac:dyDescent="0.25">
      <c r="A411" s="7" t="s">
        <v>223</v>
      </c>
      <c r="B411" s="7" t="s">
        <v>219</v>
      </c>
      <c r="C411" s="7" t="s">
        <v>240</v>
      </c>
      <c r="D411" s="7">
        <v>1123</v>
      </c>
      <c r="E411" s="27">
        <v>260</v>
      </c>
      <c r="F411" s="27">
        <v>12</v>
      </c>
      <c r="G411" s="27">
        <v>13476</v>
      </c>
      <c r="H411" s="27">
        <v>12802.2</v>
      </c>
      <c r="I411" s="27">
        <v>9433.2000000000007</v>
      </c>
      <c r="J411" s="7" t="s">
        <v>227</v>
      </c>
    </row>
    <row r="412" spans="1:10" hidden="1" x14ac:dyDescent="0.25">
      <c r="A412" s="7" t="s">
        <v>211</v>
      </c>
      <c r="B412" s="7" t="s">
        <v>215</v>
      </c>
      <c r="C412" s="7" t="s">
        <v>240</v>
      </c>
      <c r="D412" s="7">
        <v>1159</v>
      </c>
      <c r="E412" s="27">
        <v>260</v>
      </c>
      <c r="F412" s="27">
        <v>7</v>
      </c>
      <c r="G412" s="27">
        <v>8113</v>
      </c>
      <c r="H412" s="27">
        <v>7707.35</v>
      </c>
      <c r="I412" s="27">
        <v>1912.3500000000004</v>
      </c>
      <c r="J412" s="7" t="s">
        <v>229</v>
      </c>
    </row>
    <row r="413" spans="1:10" hidden="1" x14ac:dyDescent="0.25">
      <c r="A413" s="7" t="s">
        <v>223</v>
      </c>
      <c r="B413" s="7" t="s">
        <v>217</v>
      </c>
      <c r="C413" s="7" t="s">
        <v>213</v>
      </c>
      <c r="D413" s="7">
        <v>1865</v>
      </c>
      <c r="E413" s="27">
        <v>3</v>
      </c>
      <c r="F413" s="27">
        <v>12</v>
      </c>
      <c r="G413" s="27">
        <v>22380</v>
      </c>
      <c r="H413" s="27">
        <v>21261</v>
      </c>
      <c r="I413" s="27">
        <v>15666</v>
      </c>
      <c r="J413" s="7" t="s">
        <v>232</v>
      </c>
    </row>
    <row r="414" spans="1:10" hidden="1" x14ac:dyDescent="0.25">
      <c r="A414" s="7" t="s">
        <v>223</v>
      </c>
      <c r="B414" s="7" t="s">
        <v>215</v>
      </c>
      <c r="C414" s="7" t="s">
        <v>213</v>
      </c>
      <c r="D414" s="7">
        <v>1116</v>
      </c>
      <c r="E414" s="27">
        <v>3</v>
      </c>
      <c r="F414" s="27">
        <v>12</v>
      </c>
      <c r="G414" s="27">
        <v>13392</v>
      </c>
      <c r="H414" s="27">
        <v>12722.4</v>
      </c>
      <c r="I414" s="27">
        <v>9374.4</v>
      </c>
      <c r="J414" s="7" t="s">
        <v>232</v>
      </c>
    </row>
    <row r="415" spans="1:10" hidden="1" x14ac:dyDescent="0.25">
      <c r="A415" s="7" t="s">
        <v>211</v>
      </c>
      <c r="B415" s="7" t="s">
        <v>217</v>
      </c>
      <c r="C415" s="7" t="s">
        <v>213</v>
      </c>
      <c r="D415" s="7">
        <v>1563</v>
      </c>
      <c r="E415" s="27">
        <v>3</v>
      </c>
      <c r="F415" s="27">
        <v>20</v>
      </c>
      <c r="G415" s="27">
        <v>31260</v>
      </c>
      <c r="H415" s="27">
        <v>29697</v>
      </c>
      <c r="I415" s="27">
        <v>14067</v>
      </c>
      <c r="J415" s="7" t="s">
        <v>241</v>
      </c>
    </row>
    <row r="416" spans="1:10" x14ac:dyDescent="0.25">
      <c r="A416" s="7" t="s">
        <v>226</v>
      </c>
      <c r="B416" s="7" t="s">
        <v>230</v>
      </c>
      <c r="C416" s="7" t="s">
        <v>213</v>
      </c>
      <c r="D416" s="7">
        <v>991</v>
      </c>
      <c r="E416" s="27">
        <v>3</v>
      </c>
      <c r="F416" s="27">
        <v>300</v>
      </c>
      <c r="G416" s="27">
        <v>297300</v>
      </c>
      <c r="H416" s="27">
        <v>282435</v>
      </c>
      <c r="I416" s="27">
        <v>34685</v>
      </c>
      <c r="J416" s="7" t="s">
        <v>218</v>
      </c>
    </row>
    <row r="417" spans="1:10" hidden="1" x14ac:dyDescent="0.25">
      <c r="A417" s="7" t="s">
        <v>211</v>
      </c>
      <c r="B417" s="7" t="s">
        <v>215</v>
      </c>
      <c r="C417" s="7" t="s">
        <v>213</v>
      </c>
      <c r="D417" s="7">
        <v>1016</v>
      </c>
      <c r="E417" s="27">
        <v>3</v>
      </c>
      <c r="F417" s="27">
        <v>7</v>
      </c>
      <c r="G417" s="27">
        <v>7112</v>
      </c>
      <c r="H417" s="27">
        <v>6756.4</v>
      </c>
      <c r="I417" s="27">
        <v>1676.3999999999996</v>
      </c>
      <c r="J417" s="7" t="s">
        <v>235</v>
      </c>
    </row>
    <row r="418" spans="1:10" hidden="1" x14ac:dyDescent="0.25">
      <c r="A418" s="7" t="s">
        <v>216</v>
      </c>
      <c r="B418" s="7" t="s">
        <v>219</v>
      </c>
      <c r="C418" s="7" t="s">
        <v>213</v>
      </c>
      <c r="D418" s="7">
        <v>2791</v>
      </c>
      <c r="E418" s="27">
        <v>3</v>
      </c>
      <c r="F418" s="27">
        <v>15</v>
      </c>
      <c r="G418" s="27">
        <v>41865</v>
      </c>
      <c r="H418" s="27">
        <v>39771.75</v>
      </c>
      <c r="I418" s="27">
        <v>11861.75</v>
      </c>
      <c r="J418" s="7" t="s">
        <v>242</v>
      </c>
    </row>
    <row r="419" spans="1:10" x14ac:dyDescent="0.25">
      <c r="A419" s="7" t="s">
        <v>211</v>
      </c>
      <c r="B419" s="7" t="s">
        <v>230</v>
      </c>
      <c r="C419" s="7" t="s">
        <v>213</v>
      </c>
      <c r="D419" s="7">
        <v>570</v>
      </c>
      <c r="E419" s="27">
        <v>3</v>
      </c>
      <c r="F419" s="27">
        <v>7</v>
      </c>
      <c r="G419" s="27">
        <v>3990</v>
      </c>
      <c r="H419" s="27">
        <v>3790.5</v>
      </c>
      <c r="I419" s="27">
        <v>940.5</v>
      </c>
      <c r="J419" s="7" t="s">
        <v>220</v>
      </c>
    </row>
    <row r="420" spans="1:10" hidden="1" x14ac:dyDescent="0.25">
      <c r="A420" s="7" t="s">
        <v>211</v>
      </c>
      <c r="B420" s="7" t="s">
        <v>217</v>
      </c>
      <c r="C420" s="7" t="s">
        <v>213</v>
      </c>
      <c r="D420" s="7">
        <v>2487</v>
      </c>
      <c r="E420" s="27">
        <v>3</v>
      </c>
      <c r="F420" s="27">
        <v>7</v>
      </c>
      <c r="G420" s="27">
        <v>17409</v>
      </c>
      <c r="H420" s="27">
        <v>16538.55</v>
      </c>
      <c r="I420" s="27">
        <v>4103.5499999999993</v>
      </c>
      <c r="J420" s="7" t="s">
        <v>220</v>
      </c>
    </row>
    <row r="421" spans="1:10" hidden="1" x14ac:dyDescent="0.25">
      <c r="A421" s="7" t="s">
        <v>211</v>
      </c>
      <c r="B421" s="7" t="s">
        <v>217</v>
      </c>
      <c r="C421" s="7" t="s">
        <v>221</v>
      </c>
      <c r="D421" s="7">
        <v>1384.5</v>
      </c>
      <c r="E421" s="27">
        <v>5</v>
      </c>
      <c r="F421" s="27">
        <v>350</v>
      </c>
      <c r="G421" s="27">
        <v>484575</v>
      </c>
      <c r="H421" s="27">
        <v>460346.25</v>
      </c>
      <c r="I421" s="27">
        <v>100376.25</v>
      </c>
      <c r="J421" s="7" t="s">
        <v>214</v>
      </c>
    </row>
    <row r="422" spans="1:10" x14ac:dyDescent="0.25">
      <c r="A422" s="7" t="s">
        <v>224</v>
      </c>
      <c r="B422" s="7" t="s">
        <v>230</v>
      </c>
      <c r="C422" s="7" t="s">
        <v>221</v>
      </c>
      <c r="D422" s="7">
        <v>3627</v>
      </c>
      <c r="E422" s="27">
        <v>5</v>
      </c>
      <c r="F422" s="27">
        <v>125</v>
      </c>
      <c r="G422" s="27">
        <v>453375</v>
      </c>
      <c r="H422" s="27">
        <v>430706.25</v>
      </c>
      <c r="I422" s="27">
        <v>-4533.75</v>
      </c>
      <c r="J422" s="7" t="s">
        <v>225</v>
      </c>
    </row>
    <row r="423" spans="1:10" hidden="1" x14ac:dyDescent="0.25">
      <c r="A423" s="7" t="s">
        <v>211</v>
      </c>
      <c r="B423" s="7" t="s">
        <v>219</v>
      </c>
      <c r="C423" s="7" t="s">
        <v>221</v>
      </c>
      <c r="D423" s="7">
        <v>720</v>
      </c>
      <c r="E423" s="27">
        <v>5</v>
      </c>
      <c r="F423" s="27">
        <v>350</v>
      </c>
      <c r="G423" s="27">
        <v>252000</v>
      </c>
      <c r="H423" s="27">
        <v>239400</v>
      </c>
      <c r="I423" s="27">
        <v>52200</v>
      </c>
      <c r="J423" s="7" t="s">
        <v>233</v>
      </c>
    </row>
    <row r="424" spans="1:10" hidden="1" x14ac:dyDescent="0.25">
      <c r="A424" s="7" t="s">
        <v>223</v>
      </c>
      <c r="B424" s="7" t="s">
        <v>215</v>
      </c>
      <c r="C424" s="7" t="s">
        <v>221</v>
      </c>
      <c r="D424" s="7">
        <v>2342</v>
      </c>
      <c r="E424" s="27">
        <v>5</v>
      </c>
      <c r="F424" s="27">
        <v>12</v>
      </c>
      <c r="G424" s="27">
        <v>28104</v>
      </c>
      <c r="H424" s="27">
        <v>26698.799999999999</v>
      </c>
      <c r="I424" s="27">
        <v>19672.8</v>
      </c>
      <c r="J424" s="7" t="s">
        <v>242</v>
      </c>
    </row>
    <row r="425" spans="1:10" hidden="1" x14ac:dyDescent="0.25">
      <c r="A425" s="7" t="s">
        <v>226</v>
      </c>
      <c r="B425" s="7" t="s">
        <v>219</v>
      </c>
      <c r="C425" s="7" t="s">
        <v>221</v>
      </c>
      <c r="D425" s="7">
        <v>1100</v>
      </c>
      <c r="E425" s="27">
        <v>5</v>
      </c>
      <c r="F425" s="27">
        <v>300</v>
      </c>
      <c r="G425" s="27">
        <v>330000</v>
      </c>
      <c r="H425" s="27">
        <v>313500</v>
      </c>
      <c r="I425" s="27">
        <v>38500</v>
      </c>
      <c r="J425" s="7" t="s">
        <v>236</v>
      </c>
    </row>
    <row r="426" spans="1:10" hidden="1" x14ac:dyDescent="0.25">
      <c r="A426" s="7" t="s">
        <v>211</v>
      </c>
      <c r="B426" s="7" t="s">
        <v>217</v>
      </c>
      <c r="C426" s="7" t="s">
        <v>231</v>
      </c>
      <c r="D426" s="7">
        <v>1303</v>
      </c>
      <c r="E426" s="27">
        <v>10</v>
      </c>
      <c r="F426" s="27">
        <v>20</v>
      </c>
      <c r="G426" s="27">
        <v>26060</v>
      </c>
      <c r="H426" s="27">
        <v>24757</v>
      </c>
      <c r="I426" s="27">
        <v>11727</v>
      </c>
      <c r="J426" s="7" t="s">
        <v>232</v>
      </c>
    </row>
    <row r="427" spans="1:10" x14ac:dyDescent="0.25">
      <c r="A427" s="7" t="s">
        <v>224</v>
      </c>
      <c r="B427" s="7" t="s">
        <v>230</v>
      </c>
      <c r="C427" s="7" t="s">
        <v>231</v>
      </c>
      <c r="D427" s="7">
        <v>2992</v>
      </c>
      <c r="E427" s="27">
        <v>10</v>
      </c>
      <c r="F427" s="27">
        <v>125</v>
      </c>
      <c r="G427" s="27">
        <v>374000</v>
      </c>
      <c r="H427" s="27">
        <v>355300</v>
      </c>
      <c r="I427" s="27">
        <v>-3740</v>
      </c>
      <c r="J427" s="7" t="s">
        <v>222</v>
      </c>
    </row>
    <row r="428" spans="1:10" hidden="1" x14ac:dyDescent="0.25">
      <c r="A428" s="7" t="s">
        <v>224</v>
      </c>
      <c r="B428" s="7" t="s">
        <v>217</v>
      </c>
      <c r="C428" s="7" t="s">
        <v>231</v>
      </c>
      <c r="D428" s="7">
        <v>2385</v>
      </c>
      <c r="E428" s="27">
        <v>10</v>
      </c>
      <c r="F428" s="27">
        <v>125</v>
      </c>
      <c r="G428" s="27">
        <v>298125</v>
      </c>
      <c r="H428" s="27">
        <v>283218.75</v>
      </c>
      <c r="I428" s="27">
        <v>-2981.25</v>
      </c>
      <c r="J428" s="7" t="s">
        <v>222</v>
      </c>
    </row>
    <row r="429" spans="1:10" hidden="1" x14ac:dyDescent="0.25">
      <c r="A429" s="7" t="s">
        <v>226</v>
      </c>
      <c r="B429" s="7" t="s">
        <v>219</v>
      </c>
      <c r="C429" s="7" t="s">
        <v>231</v>
      </c>
      <c r="D429" s="7">
        <v>1607</v>
      </c>
      <c r="E429" s="27">
        <v>10</v>
      </c>
      <c r="F429" s="27">
        <v>300</v>
      </c>
      <c r="G429" s="27">
        <v>482100</v>
      </c>
      <c r="H429" s="27">
        <v>457995</v>
      </c>
      <c r="I429" s="27">
        <v>56245</v>
      </c>
      <c r="J429" s="7" t="s">
        <v>239</v>
      </c>
    </row>
    <row r="430" spans="1:10" x14ac:dyDescent="0.25">
      <c r="A430" s="7" t="s">
        <v>211</v>
      </c>
      <c r="B430" s="7" t="s">
        <v>230</v>
      </c>
      <c r="C430" s="7" t="s">
        <v>231</v>
      </c>
      <c r="D430" s="7">
        <v>2327</v>
      </c>
      <c r="E430" s="27">
        <v>10</v>
      </c>
      <c r="F430" s="27">
        <v>7</v>
      </c>
      <c r="G430" s="27">
        <v>16289</v>
      </c>
      <c r="H430" s="27">
        <v>15474.55</v>
      </c>
      <c r="I430" s="27">
        <v>3839.5499999999993</v>
      </c>
      <c r="J430" s="7" t="s">
        <v>241</v>
      </c>
    </row>
    <row r="431" spans="1:10" x14ac:dyDescent="0.25">
      <c r="A431" s="7" t="s">
        <v>226</v>
      </c>
      <c r="B431" s="7" t="s">
        <v>230</v>
      </c>
      <c r="C431" s="7" t="s">
        <v>231</v>
      </c>
      <c r="D431" s="7">
        <v>991</v>
      </c>
      <c r="E431" s="27">
        <v>10</v>
      </c>
      <c r="F431" s="27">
        <v>300</v>
      </c>
      <c r="G431" s="27">
        <v>297300</v>
      </c>
      <c r="H431" s="27">
        <v>282435</v>
      </c>
      <c r="I431" s="27">
        <v>34685</v>
      </c>
      <c r="J431" s="7" t="s">
        <v>218</v>
      </c>
    </row>
    <row r="432" spans="1:10" x14ac:dyDescent="0.25">
      <c r="A432" s="7" t="s">
        <v>211</v>
      </c>
      <c r="B432" s="7" t="s">
        <v>230</v>
      </c>
      <c r="C432" s="7" t="s">
        <v>231</v>
      </c>
      <c r="D432" s="7">
        <v>602</v>
      </c>
      <c r="E432" s="27">
        <v>10</v>
      </c>
      <c r="F432" s="27">
        <v>350</v>
      </c>
      <c r="G432" s="27">
        <v>210700</v>
      </c>
      <c r="H432" s="27">
        <v>200165</v>
      </c>
      <c r="I432" s="27">
        <v>43645</v>
      </c>
      <c r="J432" s="7" t="s">
        <v>218</v>
      </c>
    </row>
    <row r="433" spans="1:10" hidden="1" x14ac:dyDescent="0.25">
      <c r="A433" s="7" t="s">
        <v>216</v>
      </c>
      <c r="B433" s="7" t="s">
        <v>217</v>
      </c>
      <c r="C433" s="7" t="s">
        <v>231</v>
      </c>
      <c r="D433" s="7">
        <v>2620</v>
      </c>
      <c r="E433" s="27">
        <v>10</v>
      </c>
      <c r="F433" s="27">
        <v>15</v>
      </c>
      <c r="G433" s="27">
        <v>39300</v>
      </c>
      <c r="H433" s="27">
        <v>37335</v>
      </c>
      <c r="I433" s="27">
        <v>11135</v>
      </c>
      <c r="J433" s="7" t="s">
        <v>228</v>
      </c>
    </row>
    <row r="434" spans="1:10" hidden="1" x14ac:dyDescent="0.25">
      <c r="A434" s="7" t="s">
        <v>211</v>
      </c>
      <c r="B434" s="7" t="s">
        <v>212</v>
      </c>
      <c r="C434" s="7" t="s">
        <v>231</v>
      </c>
      <c r="D434" s="7">
        <v>1228</v>
      </c>
      <c r="E434" s="27">
        <v>10</v>
      </c>
      <c r="F434" s="27">
        <v>350</v>
      </c>
      <c r="G434" s="27">
        <v>429800</v>
      </c>
      <c r="H434" s="27">
        <v>408310</v>
      </c>
      <c r="I434" s="27">
        <v>89030</v>
      </c>
      <c r="J434" s="7" t="s">
        <v>229</v>
      </c>
    </row>
    <row r="435" spans="1:10" hidden="1" x14ac:dyDescent="0.25">
      <c r="A435" s="7" t="s">
        <v>211</v>
      </c>
      <c r="B435" s="7" t="s">
        <v>212</v>
      </c>
      <c r="C435" s="7" t="s">
        <v>231</v>
      </c>
      <c r="D435" s="7">
        <v>1389</v>
      </c>
      <c r="E435" s="27">
        <v>10</v>
      </c>
      <c r="F435" s="27">
        <v>20</v>
      </c>
      <c r="G435" s="27">
        <v>27780</v>
      </c>
      <c r="H435" s="27">
        <v>26391</v>
      </c>
      <c r="I435" s="27">
        <v>12501</v>
      </c>
      <c r="J435" s="7" t="s">
        <v>229</v>
      </c>
    </row>
    <row r="436" spans="1:10" x14ac:dyDescent="0.25">
      <c r="A436" s="7" t="s">
        <v>224</v>
      </c>
      <c r="B436" s="7" t="s">
        <v>230</v>
      </c>
      <c r="C436" s="7" t="s">
        <v>231</v>
      </c>
      <c r="D436" s="7">
        <v>861</v>
      </c>
      <c r="E436" s="27">
        <v>10</v>
      </c>
      <c r="F436" s="27">
        <v>125</v>
      </c>
      <c r="G436" s="27">
        <v>107625</v>
      </c>
      <c r="H436" s="27">
        <v>102243.75</v>
      </c>
      <c r="I436" s="27">
        <v>-1076.25</v>
      </c>
      <c r="J436" s="7" t="s">
        <v>234</v>
      </c>
    </row>
    <row r="437" spans="1:10" hidden="1" x14ac:dyDescent="0.25">
      <c r="A437" s="7" t="s">
        <v>224</v>
      </c>
      <c r="B437" s="7" t="s">
        <v>217</v>
      </c>
      <c r="C437" s="7" t="s">
        <v>231</v>
      </c>
      <c r="D437" s="7">
        <v>704</v>
      </c>
      <c r="E437" s="27">
        <v>10</v>
      </c>
      <c r="F437" s="27">
        <v>125</v>
      </c>
      <c r="G437" s="27">
        <v>88000</v>
      </c>
      <c r="H437" s="27">
        <v>83600</v>
      </c>
      <c r="I437" s="27">
        <v>-880</v>
      </c>
      <c r="J437" s="7" t="s">
        <v>229</v>
      </c>
    </row>
    <row r="438" spans="1:10" hidden="1" x14ac:dyDescent="0.25">
      <c r="A438" s="7" t="s">
        <v>211</v>
      </c>
      <c r="B438" s="7" t="s">
        <v>212</v>
      </c>
      <c r="C438" s="7" t="s">
        <v>231</v>
      </c>
      <c r="D438" s="7">
        <v>1802</v>
      </c>
      <c r="E438" s="27">
        <v>10</v>
      </c>
      <c r="F438" s="27">
        <v>20</v>
      </c>
      <c r="G438" s="27">
        <v>36040</v>
      </c>
      <c r="H438" s="27">
        <v>34238</v>
      </c>
      <c r="I438" s="27">
        <v>16218</v>
      </c>
      <c r="J438" s="7" t="s">
        <v>236</v>
      </c>
    </row>
    <row r="439" spans="1:10" x14ac:dyDescent="0.25">
      <c r="A439" s="7" t="s">
        <v>211</v>
      </c>
      <c r="B439" s="7" t="s">
        <v>230</v>
      </c>
      <c r="C439" s="7" t="s">
        <v>231</v>
      </c>
      <c r="D439" s="7">
        <v>2663</v>
      </c>
      <c r="E439" s="27">
        <v>10</v>
      </c>
      <c r="F439" s="27">
        <v>20</v>
      </c>
      <c r="G439" s="27">
        <v>53260</v>
      </c>
      <c r="H439" s="27">
        <v>50597</v>
      </c>
      <c r="I439" s="27">
        <v>23967</v>
      </c>
      <c r="J439" s="7" t="s">
        <v>220</v>
      </c>
    </row>
    <row r="440" spans="1:10" hidden="1" x14ac:dyDescent="0.25">
      <c r="A440" s="7" t="s">
        <v>211</v>
      </c>
      <c r="B440" s="7" t="s">
        <v>217</v>
      </c>
      <c r="C440" s="7" t="s">
        <v>231</v>
      </c>
      <c r="D440" s="7">
        <v>2136</v>
      </c>
      <c r="E440" s="27">
        <v>10</v>
      </c>
      <c r="F440" s="27">
        <v>7</v>
      </c>
      <c r="G440" s="27">
        <v>14952</v>
      </c>
      <c r="H440" s="27">
        <v>14204.4</v>
      </c>
      <c r="I440" s="27">
        <v>3524.3999999999996</v>
      </c>
      <c r="J440" s="7" t="s">
        <v>236</v>
      </c>
    </row>
    <row r="441" spans="1:10" hidden="1" x14ac:dyDescent="0.25">
      <c r="A441" s="7" t="s">
        <v>216</v>
      </c>
      <c r="B441" s="7" t="s">
        <v>215</v>
      </c>
      <c r="C441" s="7" t="s">
        <v>231</v>
      </c>
      <c r="D441" s="7">
        <v>2116</v>
      </c>
      <c r="E441" s="27">
        <v>10</v>
      </c>
      <c r="F441" s="27">
        <v>15</v>
      </c>
      <c r="G441" s="27">
        <v>31740</v>
      </c>
      <c r="H441" s="27">
        <v>30153</v>
      </c>
      <c r="I441" s="27">
        <v>8993</v>
      </c>
      <c r="J441" s="7" t="s">
        <v>236</v>
      </c>
    </row>
    <row r="442" spans="1:10" x14ac:dyDescent="0.25">
      <c r="A442" s="7" t="s">
        <v>216</v>
      </c>
      <c r="B442" s="7" t="s">
        <v>230</v>
      </c>
      <c r="C442" s="7" t="s">
        <v>237</v>
      </c>
      <c r="D442" s="7">
        <v>555</v>
      </c>
      <c r="E442" s="27">
        <v>120</v>
      </c>
      <c r="F442" s="27">
        <v>15</v>
      </c>
      <c r="G442" s="27">
        <v>8325</v>
      </c>
      <c r="H442" s="27">
        <v>7908.75</v>
      </c>
      <c r="I442" s="27">
        <v>2358.75</v>
      </c>
      <c r="J442" s="7" t="s">
        <v>214</v>
      </c>
    </row>
    <row r="443" spans="1:10" hidden="1" x14ac:dyDescent="0.25">
      <c r="A443" s="7" t="s">
        <v>216</v>
      </c>
      <c r="B443" s="7" t="s">
        <v>219</v>
      </c>
      <c r="C443" s="7" t="s">
        <v>237</v>
      </c>
      <c r="D443" s="7">
        <v>2861</v>
      </c>
      <c r="E443" s="27">
        <v>120</v>
      </c>
      <c r="F443" s="27">
        <v>15</v>
      </c>
      <c r="G443" s="27">
        <v>42915</v>
      </c>
      <c r="H443" s="27">
        <v>40769.25</v>
      </c>
      <c r="I443" s="27">
        <v>12159.25</v>
      </c>
      <c r="J443" s="7" t="s">
        <v>214</v>
      </c>
    </row>
    <row r="444" spans="1:10" hidden="1" x14ac:dyDescent="0.25">
      <c r="A444" s="7" t="s">
        <v>224</v>
      </c>
      <c r="B444" s="7" t="s">
        <v>215</v>
      </c>
      <c r="C444" s="7" t="s">
        <v>237</v>
      </c>
      <c r="D444" s="7">
        <v>807</v>
      </c>
      <c r="E444" s="27">
        <v>120</v>
      </c>
      <c r="F444" s="27">
        <v>125</v>
      </c>
      <c r="G444" s="27">
        <v>100875</v>
      </c>
      <c r="H444" s="27">
        <v>95831.25</v>
      </c>
      <c r="I444" s="27">
        <v>-1008.75</v>
      </c>
      <c r="J444" s="7" t="s">
        <v>232</v>
      </c>
    </row>
    <row r="445" spans="1:10" x14ac:dyDescent="0.25">
      <c r="A445" s="7" t="s">
        <v>211</v>
      </c>
      <c r="B445" s="7" t="s">
        <v>230</v>
      </c>
      <c r="C445" s="7" t="s">
        <v>237</v>
      </c>
      <c r="D445" s="7">
        <v>602</v>
      </c>
      <c r="E445" s="27">
        <v>120</v>
      </c>
      <c r="F445" s="27">
        <v>350</v>
      </c>
      <c r="G445" s="27">
        <v>210700</v>
      </c>
      <c r="H445" s="27">
        <v>200165</v>
      </c>
      <c r="I445" s="27">
        <v>43645</v>
      </c>
      <c r="J445" s="7" t="s">
        <v>218</v>
      </c>
    </row>
    <row r="446" spans="1:10" x14ac:dyDescent="0.25">
      <c r="A446" s="7" t="s">
        <v>211</v>
      </c>
      <c r="B446" s="7" t="s">
        <v>230</v>
      </c>
      <c r="C446" s="7" t="s">
        <v>237</v>
      </c>
      <c r="D446" s="7">
        <v>2832</v>
      </c>
      <c r="E446" s="27">
        <v>120</v>
      </c>
      <c r="F446" s="27">
        <v>20</v>
      </c>
      <c r="G446" s="27">
        <v>56640</v>
      </c>
      <c r="H446" s="27">
        <v>53808</v>
      </c>
      <c r="I446" s="27">
        <v>25488</v>
      </c>
      <c r="J446" s="7" t="s">
        <v>227</v>
      </c>
    </row>
    <row r="447" spans="1:10" hidden="1" x14ac:dyDescent="0.25">
      <c r="A447" s="7" t="s">
        <v>211</v>
      </c>
      <c r="B447" s="7" t="s">
        <v>217</v>
      </c>
      <c r="C447" s="7" t="s">
        <v>237</v>
      </c>
      <c r="D447" s="7">
        <v>1579</v>
      </c>
      <c r="E447" s="27">
        <v>120</v>
      </c>
      <c r="F447" s="27">
        <v>20</v>
      </c>
      <c r="G447" s="27">
        <v>31580</v>
      </c>
      <c r="H447" s="27">
        <v>30001</v>
      </c>
      <c r="I447" s="27">
        <v>14211</v>
      </c>
      <c r="J447" s="7" t="s">
        <v>227</v>
      </c>
    </row>
    <row r="448" spans="1:10" x14ac:dyDescent="0.25">
      <c r="A448" s="7" t="s">
        <v>224</v>
      </c>
      <c r="B448" s="7" t="s">
        <v>230</v>
      </c>
      <c r="C448" s="7" t="s">
        <v>237</v>
      </c>
      <c r="D448" s="7">
        <v>861</v>
      </c>
      <c r="E448" s="27">
        <v>120</v>
      </c>
      <c r="F448" s="27">
        <v>125</v>
      </c>
      <c r="G448" s="27">
        <v>107625</v>
      </c>
      <c r="H448" s="27">
        <v>102243.75</v>
      </c>
      <c r="I448" s="27">
        <v>-1076.25</v>
      </c>
      <c r="J448" s="7" t="s">
        <v>234</v>
      </c>
    </row>
    <row r="449" spans="1:10" hidden="1" x14ac:dyDescent="0.25">
      <c r="A449" s="7" t="s">
        <v>224</v>
      </c>
      <c r="B449" s="7" t="s">
        <v>217</v>
      </c>
      <c r="C449" s="7" t="s">
        <v>237</v>
      </c>
      <c r="D449" s="7">
        <v>704</v>
      </c>
      <c r="E449" s="27">
        <v>120</v>
      </c>
      <c r="F449" s="27">
        <v>125</v>
      </c>
      <c r="G449" s="27">
        <v>88000</v>
      </c>
      <c r="H449" s="27">
        <v>83600</v>
      </c>
      <c r="I449" s="27">
        <v>-880</v>
      </c>
      <c r="J449" s="7" t="s">
        <v>229</v>
      </c>
    </row>
    <row r="450" spans="1:10" hidden="1" x14ac:dyDescent="0.25">
      <c r="A450" s="7" t="s">
        <v>211</v>
      </c>
      <c r="B450" s="7" t="s">
        <v>217</v>
      </c>
      <c r="C450" s="7" t="s">
        <v>237</v>
      </c>
      <c r="D450" s="7">
        <v>1033</v>
      </c>
      <c r="E450" s="27">
        <v>120</v>
      </c>
      <c r="F450" s="27">
        <v>20</v>
      </c>
      <c r="G450" s="27">
        <v>20660</v>
      </c>
      <c r="H450" s="27">
        <v>19627</v>
      </c>
      <c r="I450" s="27">
        <v>9297</v>
      </c>
      <c r="J450" s="7" t="s">
        <v>236</v>
      </c>
    </row>
    <row r="451" spans="1:10" hidden="1" x14ac:dyDescent="0.25">
      <c r="A451" s="7" t="s">
        <v>226</v>
      </c>
      <c r="B451" s="7" t="s">
        <v>215</v>
      </c>
      <c r="C451" s="7" t="s">
        <v>237</v>
      </c>
      <c r="D451" s="7">
        <v>1250</v>
      </c>
      <c r="E451" s="27">
        <v>120</v>
      </c>
      <c r="F451" s="27">
        <v>300</v>
      </c>
      <c r="G451" s="27">
        <v>375000</v>
      </c>
      <c r="H451" s="27">
        <v>356250</v>
      </c>
      <c r="I451" s="27">
        <v>43750</v>
      </c>
      <c r="J451" s="7" t="s">
        <v>220</v>
      </c>
    </row>
    <row r="452" spans="1:10" hidden="1" x14ac:dyDescent="0.25">
      <c r="A452" s="7" t="s">
        <v>211</v>
      </c>
      <c r="B452" s="7" t="s">
        <v>212</v>
      </c>
      <c r="C452" s="7" t="s">
        <v>238</v>
      </c>
      <c r="D452" s="7">
        <v>1389</v>
      </c>
      <c r="E452" s="27">
        <v>250</v>
      </c>
      <c r="F452" s="27">
        <v>20</v>
      </c>
      <c r="G452" s="27">
        <v>27780</v>
      </c>
      <c r="H452" s="27">
        <v>26391</v>
      </c>
      <c r="I452" s="27">
        <v>12501</v>
      </c>
      <c r="J452" s="7" t="s">
        <v>229</v>
      </c>
    </row>
    <row r="453" spans="1:10" x14ac:dyDescent="0.25">
      <c r="A453" s="7" t="s">
        <v>211</v>
      </c>
      <c r="B453" s="7" t="s">
        <v>230</v>
      </c>
      <c r="C453" s="7" t="s">
        <v>238</v>
      </c>
      <c r="D453" s="7">
        <v>1265</v>
      </c>
      <c r="E453" s="27">
        <v>250</v>
      </c>
      <c r="F453" s="27">
        <v>20</v>
      </c>
      <c r="G453" s="27">
        <v>25300</v>
      </c>
      <c r="H453" s="27">
        <v>24035</v>
      </c>
      <c r="I453" s="27">
        <v>11385</v>
      </c>
      <c r="J453" s="7" t="s">
        <v>235</v>
      </c>
    </row>
    <row r="454" spans="1:10" hidden="1" x14ac:dyDescent="0.25">
      <c r="A454" s="7" t="s">
        <v>211</v>
      </c>
      <c r="B454" s="7" t="s">
        <v>215</v>
      </c>
      <c r="C454" s="7" t="s">
        <v>238</v>
      </c>
      <c r="D454" s="7">
        <v>2297</v>
      </c>
      <c r="E454" s="27">
        <v>250</v>
      </c>
      <c r="F454" s="27">
        <v>20</v>
      </c>
      <c r="G454" s="27">
        <v>45940</v>
      </c>
      <c r="H454" s="27">
        <v>43643</v>
      </c>
      <c r="I454" s="27">
        <v>20673</v>
      </c>
      <c r="J454" s="7" t="s">
        <v>235</v>
      </c>
    </row>
    <row r="455" spans="1:10" x14ac:dyDescent="0.25">
      <c r="A455" s="7" t="s">
        <v>211</v>
      </c>
      <c r="B455" s="7" t="s">
        <v>230</v>
      </c>
      <c r="C455" s="7" t="s">
        <v>238</v>
      </c>
      <c r="D455" s="7">
        <v>2663</v>
      </c>
      <c r="E455" s="27">
        <v>250</v>
      </c>
      <c r="F455" s="27">
        <v>20</v>
      </c>
      <c r="G455" s="27">
        <v>53260</v>
      </c>
      <c r="H455" s="27">
        <v>50597</v>
      </c>
      <c r="I455" s="27">
        <v>23967</v>
      </c>
      <c r="J455" s="7" t="s">
        <v>220</v>
      </c>
    </row>
    <row r="456" spans="1:10" x14ac:dyDescent="0.25">
      <c r="A456" s="7" t="s">
        <v>211</v>
      </c>
      <c r="B456" s="7" t="s">
        <v>230</v>
      </c>
      <c r="C456" s="7" t="s">
        <v>238</v>
      </c>
      <c r="D456" s="7">
        <v>570</v>
      </c>
      <c r="E456" s="27">
        <v>250</v>
      </c>
      <c r="F456" s="27">
        <v>7</v>
      </c>
      <c r="G456" s="27">
        <v>3990</v>
      </c>
      <c r="H456" s="27">
        <v>3790.5</v>
      </c>
      <c r="I456" s="27">
        <v>940.5</v>
      </c>
      <c r="J456" s="7" t="s">
        <v>220</v>
      </c>
    </row>
    <row r="457" spans="1:10" hidden="1" x14ac:dyDescent="0.25">
      <c r="A457" s="7" t="s">
        <v>211</v>
      </c>
      <c r="B457" s="7" t="s">
        <v>217</v>
      </c>
      <c r="C457" s="7" t="s">
        <v>238</v>
      </c>
      <c r="D457" s="7">
        <v>2487</v>
      </c>
      <c r="E457" s="27">
        <v>250</v>
      </c>
      <c r="F457" s="27">
        <v>7</v>
      </c>
      <c r="G457" s="27">
        <v>17409</v>
      </c>
      <c r="H457" s="27">
        <v>16538.55</v>
      </c>
      <c r="I457" s="27">
        <v>4103.5499999999993</v>
      </c>
      <c r="J457" s="7" t="s">
        <v>220</v>
      </c>
    </row>
    <row r="458" spans="1:10" hidden="1" x14ac:dyDescent="0.25">
      <c r="A458" s="7" t="s">
        <v>211</v>
      </c>
      <c r="B458" s="7" t="s">
        <v>215</v>
      </c>
      <c r="C458" s="7" t="s">
        <v>240</v>
      </c>
      <c r="D458" s="7">
        <v>1350</v>
      </c>
      <c r="E458" s="27">
        <v>260</v>
      </c>
      <c r="F458" s="27">
        <v>350</v>
      </c>
      <c r="G458" s="27">
        <v>472500</v>
      </c>
      <c r="H458" s="27">
        <v>448875</v>
      </c>
      <c r="I458" s="27">
        <v>97875</v>
      </c>
      <c r="J458" s="7" t="s">
        <v>232</v>
      </c>
    </row>
    <row r="459" spans="1:10" hidden="1" x14ac:dyDescent="0.25">
      <c r="A459" s="7" t="s">
        <v>211</v>
      </c>
      <c r="B459" s="7" t="s">
        <v>212</v>
      </c>
      <c r="C459" s="7" t="s">
        <v>240</v>
      </c>
      <c r="D459" s="7">
        <v>552</v>
      </c>
      <c r="E459" s="27">
        <v>260</v>
      </c>
      <c r="F459" s="27">
        <v>350</v>
      </c>
      <c r="G459" s="27">
        <v>193200</v>
      </c>
      <c r="H459" s="27">
        <v>183540</v>
      </c>
      <c r="I459" s="27">
        <v>40020</v>
      </c>
      <c r="J459" s="7" t="s">
        <v>227</v>
      </c>
    </row>
    <row r="460" spans="1:10" hidden="1" x14ac:dyDescent="0.25">
      <c r="A460" s="7" t="s">
        <v>211</v>
      </c>
      <c r="B460" s="7" t="s">
        <v>212</v>
      </c>
      <c r="C460" s="7" t="s">
        <v>240</v>
      </c>
      <c r="D460" s="7">
        <v>1228</v>
      </c>
      <c r="E460" s="27">
        <v>260</v>
      </c>
      <c r="F460" s="27">
        <v>350</v>
      </c>
      <c r="G460" s="27">
        <v>429800</v>
      </c>
      <c r="H460" s="27">
        <v>408310</v>
      </c>
      <c r="I460" s="27">
        <v>89030</v>
      </c>
      <c r="J460" s="7" t="s">
        <v>229</v>
      </c>
    </row>
    <row r="461" spans="1:10" hidden="1" x14ac:dyDescent="0.25">
      <c r="A461" s="7" t="s">
        <v>226</v>
      </c>
      <c r="B461" s="7" t="s">
        <v>215</v>
      </c>
      <c r="C461" s="7" t="s">
        <v>240</v>
      </c>
      <c r="D461" s="7">
        <v>1250</v>
      </c>
      <c r="E461" s="27">
        <v>260</v>
      </c>
      <c r="F461" s="27">
        <v>300</v>
      </c>
      <c r="G461" s="27">
        <v>375000</v>
      </c>
      <c r="H461" s="27">
        <v>356250</v>
      </c>
      <c r="I461" s="27">
        <v>43750</v>
      </c>
      <c r="J461" s="7" t="s">
        <v>220</v>
      </c>
    </row>
    <row r="462" spans="1:10" hidden="1" x14ac:dyDescent="0.25">
      <c r="A462" s="7" t="s">
        <v>216</v>
      </c>
      <c r="B462" s="7" t="s">
        <v>217</v>
      </c>
      <c r="C462" s="7" t="s">
        <v>231</v>
      </c>
      <c r="D462" s="7">
        <v>3801</v>
      </c>
      <c r="E462" s="27">
        <v>10</v>
      </c>
      <c r="F462" s="27">
        <v>15</v>
      </c>
      <c r="G462" s="27">
        <v>57015</v>
      </c>
      <c r="H462" s="27">
        <v>53594.100000000006</v>
      </c>
      <c r="I462" s="27">
        <v>15584.100000000002</v>
      </c>
      <c r="J462" s="7" t="s">
        <v>239</v>
      </c>
    </row>
    <row r="463" spans="1:10" x14ac:dyDescent="0.25">
      <c r="A463" s="7" t="s">
        <v>211</v>
      </c>
      <c r="B463" s="7" t="s">
        <v>230</v>
      </c>
      <c r="C463" s="7" t="s">
        <v>213</v>
      </c>
      <c r="D463" s="7">
        <v>1117.5</v>
      </c>
      <c r="E463" s="27">
        <v>3</v>
      </c>
      <c r="F463" s="27">
        <v>20</v>
      </c>
      <c r="G463" s="27">
        <v>22350</v>
      </c>
      <c r="H463" s="27">
        <v>21009</v>
      </c>
      <c r="I463" s="27">
        <v>9834</v>
      </c>
      <c r="J463" s="7" t="s">
        <v>214</v>
      </c>
    </row>
    <row r="464" spans="1:10" hidden="1" x14ac:dyDescent="0.25">
      <c r="A464" s="7" t="s">
        <v>216</v>
      </c>
      <c r="B464" s="7" t="s">
        <v>212</v>
      </c>
      <c r="C464" s="7" t="s">
        <v>213</v>
      </c>
      <c r="D464" s="7">
        <v>2844</v>
      </c>
      <c r="E464" s="27">
        <v>3</v>
      </c>
      <c r="F464" s="27">
        <v>15</v>
      </c>
      <c r="G464" s="27">
        <v>42660</v>
      </c>
      <c r="H464" s="27">
        <v>40100.400000000001</v>
      </c>
      <c r="I464" s="27">
        <v>11660.400000000001</v>
      </c>
      <c r="J464" s="7" t="s">
        <v>218</v>
      </c>
    </row>
    <row r="465" spans="1:10" hidden="1" x14ac:dyDescent="0.25">
      <c r="A465" s="7" t="s">
        <v>223</v>
      </c>
      <c r="B465" s="7" t="s">
        <v>219</v>
      </c>
      <c r="C465" s="7" t="s">
        <v>213</v>
      </c>
      <c r="D465" s="7">
        <v>562</v>
      </c>
      <c r="E465" s="27">
        <v>3</v>
      </c>
      <c r="F465" s="27">
        <v>12</v>
      </c>
      <c r="G465" s="27">
        <v>6744</v>
      </c>
      <c r="H465" s="27">
        <v>6339.36</v>
      </c>
      <c r="I465" s="27">
        <v>4653.3599999999997</v>
      </c>
      <c r="J465" s="7" t="s">
        <v>228</v>
      </c>
    </row>
    <row r="466" spans="1:10" hidden="1" x14ac:dyDescent="0.25">
      <c r="A466" s="7" t="s">
        <v>223</v>
      </c>
      <c r="B466" s="7" t="s">
        <v>212</v>
      </c>
      <c r="C466" s="7" t="s">
        <v>213</v>
      </c>
      <c r="D466" s="7">
        <v>2299</v>
      </c>
      <c r="E466" s="27">
        <v>3</v>
      </c>
      <c r="F466" s="27">
        <v>12</v>
      </c>
      <c r="G466" s="27">
        <v>27588</v>
      </c>
      <c r="H466" s="27">
        <v>25932.720000000001</v>
      </c>
      <c r="I466" s="27">
        <v>19035.72</v>
      </c>
      <c r="J466" s="7" t="s">
        <v>229</v>
      </c>
    </row>
    <row r="467" spans="1:10" x14ac:dyDescent="0.25">
      <c r="A467" s="7" t="s">
        <v>216</v>
      </c>
      <c r="B467" s="7" t="s">
        <v>230</v>
      </c>
      <c r="C467" s="7" t="s">
        <v>213</v>
      </c>
      <c r="D467" s="7">
        <v>2030</v>
      </c>
      <c r="E467" s="27">
        <v>3</v>
      </c>
      <c r="F467" s="27">
        <v>15</v>
      </c>
      <c r="G467" s="27">
        <v>30450</v>
      </c>
      <c r="H467" s="27">
        <v>28623</v>
      </c>
      <c r="I467" s="27">
        <v>8323</v>
      </c>
      <c r="J467" s="7" t="s">
        <v>242</v>
      </c>
    </row>
    <row r="468" spans="1:10" x14ac:dyDescent="0.25">
      <c r="A468" s="7" t="s">
        <v>211</v>
      </c>
      <c r="B468" s="7" t="s">
        <v>230</v>
      </c>
      <c r="C468" s="7" t="s">
        <v>213</v>
      </c>
      <c r="D468" s="7">
        <v>263</v>
      </c>
      <c r="E468" s="27">
        <v>3</v>
      </c>
      <c r="F468" s="27">
        <v>7</v>
      </c>
      <c r="G468" s="27">
        <v>1841</v>
      </c>
      <c r="H468" s="27">
        <v>1730.54</v>
      </c>
      <c r="I468" s="27">
        <v>415.53999999999996</v>
      </c>
      <c r="J468" s="7" t="s">
        <v>235</v>
      </c>
    </row>
    <row r="469" spans="1:10" hidden="1" x14ac:dyDescent="0.25">
      <c r="A469" s="7" t="s">
        <v>224</v>
      </c>
      <c r="B469" s="7" t="s">
        <v>215</v>
      </c>
      <c r="C469" s="7" t="s">
        <v>213</v>
      </c>
      <c r="D469" s="7">
        <v>887</v>
      </c>
      <c r="E469" s="27">
        <v>3</v>
      </c>
      <c r="F469" s="27">
        <v>125</v>
      </c>
      <c r="G469" s="27">
        <v>110875</v>
      </c>
      <c r="H469" s="27">
        <v>104222.5</v>
      </c>
      <c r="I469" s="27">
        <v>-2217.5</v>
      </c>
      <c r="J469" s="7" t="s">
        <v>236</v>
      </c>
    </row>
    <row r="470" spans="1:10" hidden="1" x14ac:dyDescent="0.25">
      <c r="A470" s="7" t="s">
        <v>211</v>
      </c>
      <c r="B470" s="7" t="s">
        <v>219</v>
      </c>
      <c r="C470" s="7" t="s">
        <v>221</v>
      </c>
      <c r="D470" s="7">
        <v>980</v>
      </c>
      <c r="E470" s="27">
        <v>5</v>
      </c>
      <c r="F470" s="27">
        <v>350</v>
      </c>
      <c r="G470" s="27">
        <v>343000</v>
      </c>
      <c r="H470" s="27">
        <v>322420</v>
      </c>
      <c r="I470" s="27">
        <v>67620</v>
      </c>
      <c r="J470" s="7" t="s">
        <v>239</v>
      </c>
    </row>
    <row r="471" spans="1:10" hidden="1" x14ac:dyDescent="0.25">
      <c r="A471" s="7" t="s">
        <v>211</v>
      </c>
      <c r="B471" s="7" t="s">
        <v>215</v>
      </c>
      <c r="C471" s="7" t="s">
        <v>221</v>
      </c>
      <c r="D471" s="7">
        <v>1460</v>
      </c>
      <c r="E471" s="27">
        <v>5</v>
      </c>
      <c r="F471" s="27">
        <v>350</v>
      </c>
      <c r="G471" s="27">
        <v>511000</v>
      </c>
      <c r="H471" s="27">
        <v>480340</v>
      </c>
      <c r="I471" s="27">
        <v>100740</v>
      </c>
      <c r="J471" s="7" t="s">
        <v>241</v>
      </c>
    </row>
    <row r="472" spans="1:10" hidden="1" x14ac:dyDescent="0.25">
      <c r="A472" s="7" t="s">
        <v>211</v>
      </c>
      <c r="B472" s="7" t="s">
        <v>217</v>
      </c>
      <c r="C472" s="7" t="s">
        <v>221</v>
      </c>
      <c r="D472" s="7">
        <v>1403</v>
      </c>
      <c r="E472" s="27">
        <v>5</v>
      </c>
      <c r="F472" s="27">
        <v>7</v>
      </c>
      <c r="G472" s="27">
        <v>9821</v>
      </c>
      <c r="H472" s="27">
        <v>9231.74</v>
      </c>
      <c r="I472" s="27">
        <v>2216.7399999999998</v>
      </c>
      <c r="J472" s="7" t="s">
        <v>229</v>
      </c>
    </row>
    <row r="473" spans="1:10" x14ac:dyDescent="0.25">
      <c r="A473" s="7" t="s">
        <v>223</v>
      </c>
      <c r="B473" s="7" t="s">
        <v>230</v>
      </c>
      <c r="C473" s="7" t="s">
        <v>221</v>
      </c>
      <c r="D473" s="7">
        <v>2723</v>
      </c>
      <c r="E473" s="27">
        <v>5</v>
      </c>
      <c r="F473" s="27">
        <v>12</v>
      </c>
      <c r="G473" s="27">
        <v>32676</v>
      </c>
      <c r="H473" s="27">
        <v>30715.439999999999</v>
      </c>
      <c r="I473" s="27">
        <v>22546.44</v>
      </c>
      <c r="J473" s="7" t="s">
        <v>242</v>
      </c>
    </row>
    <row r="474" spans="1:10" hidden="1" x14ac:dyDescent="0.25">
      <c r="A474" s="7" t="s">
        <v>211</v>
      </c>
      <c r="B474" s="7" t="s">
        <v>217</v>
      </c>
      <c r="C474" s="7" t="s">
        <v>231</v>
      </c>
      <c r="D474" s="7">
        <v>1496</v>
      </c>
      <c r="E474" s="27">
        <v>10</v>
      </c>
      <c r="F474" s="27">
        <v>350</v>
      </c>
      <c r="G474" s="27">
        <v>523600</v>
      </c>
      <c r="H474" s="27">
        <v>492184</v>
      </c>
      <c r="I474" s="27">
        <v>103224</v>
      </c>
      <c r="J474" s="7" t="s">
        <v>218</v>
      </c>
    </row>
    <row r="475" spans="1:10" hidden="1" x14ac:dyDescent="0.25">
      <c r="A475" s="7" t="s">
        <v>223</v>
      </c>
      <c r="B475" s="7" t="s">
        <v>212</v>
      </c>
      <c r="C475" s="7" t="s">
        <v>231</v>
      </c>
      <c r="D475" s="7">
        <v>2299</v>
      </c>
      <c r="E475" s="27">
        <v>10</v>
      </c>
      <c r="F475" s="27">
        <v>12</v>
      </c>
      <c r="G475" s="27">
        <v>27588</v>
      </c>
      <c r="H475" s="27">
        <v>25932.720000000001</v>
      </c>
      <c r="I475" s="27">
        <v>19035.72</v>
      </c>
      <c r="J475" s="7" t="s">
        <v>229</v>
      </c>
    </row>
    <row r="476" spans="1:10" x14ac:dyDescent="0.25">
      <c r="A476" s="7" t="s">
        <v>211</v>
      </c>
      <c r="B476" s="7" t="s">
        <v>230</v>
      </c>
      <c r="C476" s="7" t="s">
        <v>231</v>
      </c>
      <c r="D476" s="7">
        <v>727</v>
      </c>
      <c r="E476" s="27">
        <v>10</v>
      </c>
      <c r="F476" s="27">
        <v>350</v>
      </c>
      <c r="G476" s="27">
        <v>254450</v>
      </c>
      <c r="H476" s="27">
        <v>239183</v>
      </c>
      <c r="I476" s="27">
        <v>50163</v>
      </c>
      <c r="J476" s="7" t="s">
        <v>229</v>
      </c>
    </row>
    <row r="477" spans="1:10" hidden="1" x14ac:dyDescent="0.25">
      <c r="A477" s="7" t="s">
        <v>224</v>
      </c>
      <c r="B477" s="7" t="s">
        <v>212</v>
      </c>
      <c r="C477" s="7" t="s">
        <v>237</v>
      </c>
      <c r="D477" s="7">
        <v>952</v>
      </c>
      <c r="E477" s="27">
        <v>120</v>
      </c>
      <c r="F477" s="27">
        <v>125</v>
      </c>
      <c r="G477" s="27">
        <v>119000</v>
      </c>
      <c r="H477" s="27">
        <v>111860</v>
      </c>
      <c r="I477" s="27">
        <v>-2380</v>
      </c>
      <c r="J477" s="7" t="s">
        <v>232</v>
      </c>
    </row>
    <row r="478" spans="1:10" x14ac:dyDescent="0.25">
      <c r="A478" s="7" t="s">
        <v>224</v>
      </c>
      <c r="B478" s="7" t="s">
        <v>230</v>
      </c>
      <c r="C478" s="7" t="s">
        <v>237</v>
      </c>
      <c r="D478" s="7">
        <v>2755</v>
      </c>
      <c r="E478" s="27">
        <v>120</v>
      </c>
      <c r="F478" s="27">
        <v>125</v>
      </c>
      <c r="G478" s="27">
        <v>344375</v>
      </c>
      <c r="H478" s="27">
        <v>323712.5</v>
      </c>
      <c r="I478" s="27">
        <v>-6887.5</v>
      </c>
      <c r="J478" s="7" t="s">
        <v>232</v>
      </c>
    </row>
    <row r="479" spans="1:10" hidden="1" x14ac:dyDescent="0.25">
      <c r="A479" s="7" t="s">
        <v>216</v>
      </c>
      <c r="B479" s="7" t="s">
        <v>215</v>
      </c>
      <c r="C479" s="7" t="s">
        <v>237</v>
      </c>
      <c r="D479" s="7">
        <v>1530</v>
      </c>
      <c r="E479" s="27">
        <v>120</v>
      </c>
      <c r="F479" s="27">
        <v>15</v>
      </c>
      <c r="G479" s="27">
        <v>22950</v>
      </c>
      <c r="H479" s="27">
        <v>21573</v>
      </c>
      <c r="I479" s="27">
        <v>6273</v>
      </c>
      <c r="J479" s="7" t="s">
        <v>241</v>
      </c>
    </row>
    <row r="480" spans="1:10" hidden="1" x14ac:dyDescent="0.25">
      <c r="A480" s="7" t="s">
        <v>211</v>
      </c>
      <c r="B480" s="7" t="s">
        <v>217</v>
      </c>
      <c r="C480" s="7" t="s">
        <v>237</v>
      </c>
      <c r="D480" s="7">
        <v>1496</v>
      </c>
      <c r="E480" s="27">
        <v>120</v>
      </c>
      <c r="F480" s="27">
        <v>350</v>
      </c>
      <c r="G480" s="27">
        <v>523600</v>
      </c>
      <c r="H480" s="27">
        <v>492184</v>
      </c>
      <c r="I480" s="27">
        <v>103224</v>
      </c>
      <c r="J480" s="7" t="s">
        <v>218</v>
      </c>
    </row>
    <row r="481" spans="1:10" hidden="1" x14ac:dyDescent="0.25">
      <c r="A481" s="7" t="s">
        <v>211</v>
      </c>
      <c r="B481" s="7" t="s">
        <v>219</v>
      </c>
      <c r="C481" s="7" t="s">
        <v>237</v>
      </c>
      <c r="D481" s="7">
        <v>1498</v>
      </c>
      <c r="E481" s="27">
        <v>120</v>
      </c>
      <c r="F481" s="27">
        <v>7</v>
      </c>
      <c r="G481" s="27">
        <v>10486</v>
      </c>
      <c r="H481" s="27">
        <v>9856.84</v>
      </c>
      <c r="I481" s="27">
        <v>2366.84</v>
      </c>
      <c r="J481" s="7" t="s">
        <v>218</v>
      </c>
    </row>
    <row r="482" spans="1:10" hidden="1" x14ac:dyDescent="0.25">
      <c r="A482" s="7" t="s">
        <v>226</v>
      </c>
      <c r="B482" s="7" t="s">
        <v>217</v>
      </c>
      <c r="C482" s="7" t="s">
        <v>237</v>
      </c>
      <c r="D482" s="7">
        <v>1221</v>
      </c>
      <c r="E482" s="27">
        <v>120</v>
      </c>
      <c r="F482" s="27">
        <v>300</v>
      </c>
      <c r="G482" s="27">
        <v>366300</v>
      </c>
      <c r="H482" s="27">
        <v>344322</v>
      </c>
      <c r="I482" s="27">
        <v>39072</v>
      </c>
      <c r="J482" s="7" t="s">
        <v>229</v>
      </c>
    </row>
    <row r="483" spans="1:10" hidden="1" x14ac:dyDescent="0.25">
      <c r="A483" s="7" t="s">
        <v>211</v>
      </c>
      <c r="B483" s="7" t="s">
        <v>217</v>
      </c>
      <c r="C483" s="7" t="s">
        <v>237</v>
      </c>
      <c r="D483" s="7">
        <v>2076</v>
      </c>
      <c r="E483" s="27">
        <v>120</v>
      </c>
      <c r="F483" s="27">
        <v>350</v>
      </c>
      <c r="G483" s="27">
        <v>726600</v>
      </c>
      <c r="H483" s="27">
        <v>683004</v>
      </c>
      <c r="I483" s="27">
        <v>143244</v>
      </c>
      <c r="J483" s="7" t="s">
        <v>229</v>
      </c>
    </row>
    <row r="484" spans="1:10" hidden="1" x14ac:dyDescent="0.25">
      <c r="A484" s="7" t="s">
        <v>216</v>
      </c>
      <c r="B484" s="7" t="s">
        <v>212</v>
      </c>
      <c r="C484" s="7" t="s">
        <v>238</v>
      </c>
      <c r="D484" s="7">
        <v>2844</v>
      </c>
      <c r="E484" s="27">
        <v>250</v>
      </c>
      <c r="F484" s="27">
        <v>15</v>
      </c>
      <c r="G484" s="27">
        <v>42660</v>
      </c>
      <c r="H484" s="27">
        <v>40100.400000000001</v>
      </c>
      <c r="I484" s="27">
        <v>11660.400000000001</v>
      </c>
      <c r="J484" s="7" t="s">
        <v>218</v>
      </c>
    </row>
    <row r="485" spans="1:10" hidden="1" x14ac:dyDescent="0.25">
      <c r="A485" s="7" t="s">
        <v>211</v>
      </c>
      <c r="B485" s="7" t="s">
        <v>219</v>
      </c>
      <c r="C485" s="7" t="s">
        <v>238</v>
      </c>
      <c r="D485" s="7">
        <v>1498</v>
      </c>
      <c r="E485" s="27">
        <v>250</v>
      </c>
      <c r="F485" s="27">
        <v>7</v>
      </c>
      <c r="G485" s="27">
        <v>10486</v>
      </c>
      <c r="H485" s="27">
        <v>9856.84</v>
      </c>
      <c r="I485" s="27">
        <v>2366.84</v>
      </c>
      <c r="J485" s="7" t="s">
        <v>218</v>
      </c>
    </row>
    <row r="486" spans="1:10" hidden="1" x14ac:dyDescent="0.25">
      <c r="A486" s="7" t="s">
        <v>226</v>
      </c>
      <c r="B486" s="7" t="s">
        <v>217</v>
      </c>
      <c r="C486" s="7" t="s">
        <v>238</v>
      </c>
      <c r="D486" s="7">
        <v>1221</v>
      </c>
      <c r="E486" s="27">
        <v>250</v>
      </c>
      <c r="F486" s="27">
        <v>300</v>
      </c>
      <c r="G486" s="27">
        <v>366300</v>
      </c>
      <c r="H486" s="27">
        <v>344322</v>
      </c>
      <c r="I486" s="27">
        <v>39072</v>
      </c>
      <c r="J486" s="7" t="s">
        <v>229</v>
      </c>
    </row>
    <row r="487" spans="1:10" hidden="1" x14ac:dyDescent="0.25">
      <c r="A487" s="7" t="s">
        <v>211</v>
      </c>
      <c r="B487" s="7" t="s">
        <v>219</v>
      </c>
      <c r="C487" s="7" t="s">
        <v>238</v>
      </c>
      <c r="D487" s="7">
        <v>1123</v>
      </c>
      <c r="E487" s="27">
        <v>250</v>
      </c>
      <c r="F487" s="27">
        <v>20</v>
      </c>
      <c r="G487" s="27">
        <v>22460</v>
      </c>
      <c r="H487" s="27">
        <v>21112.400000000001</v>
      </c>
      <c r="I487" s="27">
        <v>9882.4000000000015</v>
      </c>
      <c r="J487" s="7" t="s">
        <v>235</v>
      </c>
    </row>
    <row r="488" spans="1:10" hidden="1" x14ac:dyDescent="0.25">
      <c r="A488" s="7" t="s">
        <v>226</v>
      </c>
      <c r="B488" s="7" t="s">
        <v>212</v>
      </c>
      <c r="C488" s="7" t="s">
        <v>238</v>
      </c>
      <c r="D488" s="7">
        <v>2436</v>
      </c>
      <c r="E488" s="27">
        <v>250</v>
      </c>
      <c r="F488" s="27">
        <v>300</v>
      </c>
      <c r="G488" s="27">
        <v>730800</v>
      </c>
      <c r="H488" s="27">
        <v>686952</v>
      </c>
      <c r="I488" s="27">
        <v>77952</v>
      </c>
      <c r="J488" s="7" t="s">
        <v>236</v>
      </c>
    </row>
    <row r="489" spans="1:10" hidden="1" x14ac:dyDescent="0.25">
      <c r="A489" s="7" t="s">
        <v>224</v>
      </c>
      <c r="B489" s="7" t="s">
        <v>217</v>
      </c>
      <c r="C489" s="7" t="s">
        <v>240</v>
      </c>
      <c r="D489" s="7">
        <v>1987.5</v>
      </c>
      <c r="E489" s="27">
        <v>260</v>
      </c>
      <c r="F489" s="27">
        <v>125</v>
      </c>
      <c r="G489" s="27">
        <v>248437.5</v>
      </c>
      <c r="H489" s="27">
        <v>233531.25</v>
      </c>
      <c r="I489" s="27">
        <v>-4968.75</v>
      </c>
      <c r="J489" s="7" t="s">
        <v>214</v>
      </c>
    </row>
    <row r="490" spans="1:10" hidden="1" x14ac:dyDescent="0.25">
      <c r="A490" s="7" t="s">
        <v>211</v>
      </c>
      <c r="B490" s="7" t="s">
        <v>219</v>
      </c>
      <c r="C490" s="7" t="s">
        <v>240</v>
      </c>
      <c r="D490" s="7">
        <v>1679</v>
      </c>
      <c r="E490" s="27">
        <v>260</v>
      </c>
      <c r="F490" s="27">
        <v>350</v>
      </c>
      <c r="G490" s="27">
        <v>587650</v>
      </c>
      <c r="H490" s="27">
        <v>552391</v>
      </c>
      <c r="I490" s="27">
        <v>115851</v>
      </c>
      <c r="J490" s="7" t="s">
        <v>228</v>
      </c>
    </row>
    <row r="491" spans="1:10" x14ac:dyDescent="0.25">
      <c r="A491" s="7" t="s">
        <v>211</v>
      </c>
      <c r="B491" s="7" t="s">
        <v>230</v>
      </c>
      <c r="C491" s="7" t="s">
        <v>240</v>
      </c>
      <c r="D491" s="7">
        <v>727</v>
      </c>
      <c r="E491" s="27">
        <v>260</v>
      </c>
      <c r="F491" s="27">
        <v>350</v>
      </c>
      <c r="G491" s="27">
        <v>254450</v>
      </c>
      <c r="H491" s="27">
        <v>239183</v>
      </c>
      <c r="I491" s="27">
        <v>50163</v>
      </c>
      <c r="J491" s="7" t="s">
        <v>229</v>
      </c>
    </row>
    <row r="492" spans="1:10" hidden="1" x14ac:dyDescent="0.25">
      <c r="A492" s="7" t="s">
        <v>211</v>
      </c>
      <c r="B492" s="7" t="s">
        <v>217</v>
      </c>
      <c r="C492" s="7" t="s">
        <v>240</v>
      </c>
      <c r="D492" s="7">
        <v>1403</v>
      </c>
      <c r="E492" s="27">
        <v>260</v>
      </c>
      <c r="F492" s="27">
        <v>7</v>
      </c>
      <c r="G492" s="27">
        <v>9821</v>
      </c>
      <c r="H492" s="27">
        <v>9231.74</v>
      </c>
      <c r="I492" s="27">
        <v>2216.7399999999998</v>
      </c>
      <c r="J492" s="7" t="s">
        <v>229</v>
      </c>
    </row>
    <row r="493" spans="1:10" hidden="1" x14ac:dyDescent="0.25">
      <c r="A493" s="7" t="s">
        <v>211</v>
      </c>
      <c r="B493" s="7" t="s">
        <v>217</v>
      </c>
      <c r="C493" s="7" t="s">
        <v>240</v>
      </c>
      <c r="D493" s="7">
        <v>2076</v>
      </c>
      <c r="E493" s="27">
        <v>260</v>
      </c>
      <c r="F493" s="27">
        <v>350</v>
      </c>
      <c r="G493" s="27">
        <v>726600</v>
      </c>
      <c r="H493" s="27">
        <v>683004</v>
      </c>
      <c r="I493" s="27">
        <v>143244</v>
      </c>
      <c r="J493" s="7" t="s">
        <v>229</v>
      </c>
    </row>
    <row r="494" spans="1:10" hidden="1" x14ac:dyDescent="0.25">
      <c r="A494" s="7" t="s">
        <v>211</v>
      </c>
      <c r="B494" s="7" t="s">
        <v>217</v>
      </c>
      <c r="C494" s="7" t="s">
        <v>221</v>
      </c>
      <c r="D494" s="7">
        <v>1757</v>
      </c>
      <c r="E494" s="27">
        <v>5</v>
      </c>
      <c r="F494" s="27">
        <v>20</v>
      </c>
      <c r="G494" s="27">
        <v>35140</v>
      </c>
      <c r="H494" s="27">
        <v>33031.599999999999</v>
      </c>
      <c r="I494" s="27">
        <v>15461.599999999999</v>
      </c>
      <c r="J494" s="7" t="s">
        <v>229</v>
      </c>
    </row>
    <row r="495" spans="1:10" x14ac:dyDescent="0.25">
      <c r="A495" s="7" t="s">
        <v>216</v>
      </c>
      <c r="B495" s="7" t="s">
        <v>230</v>
      </c>
      <c r="C495" s="7" t="s">
        <v>231</v>
      </c>
      <c r="D495" s="7">
        <v>2198</v>
      </c>
      <c r="E495" s="27">
        <v>10</v>
      </c>
      <c r="F495" s="27">
        <v>15</v>
      </c>
      <c r="G495" s="27">
        <v>32970</v>
      </c>
      <c r="H495" s="27">
        <v>30991.8</v>
      </c>
      <c r="I495" s="27">
        <v>9011.7999999999993</v>
      </c>
      <c r="J495" s="7" t="s">
        <v>227</v>
      </c>
    </row>
    <row r="496" spans="1:10" hidden="1" x14ac:dyDescent="0.25">
      <c r="A496" s="7" t="s">
        <v>216</v>
      </c>
      <c r="B496" s="7" t="s">
        <v>215</v>
      </c>
      <c r="C496" s="7" t="s">
        <v>231</v>
      </c>
      <c r="D496" s="7">
        <v>1743</v>
      </c>
      <c r="E496" s="27">
        <v>10</v>
      </c>
      <c r="F496" s="27">
        <v>15</v>
      </c>
      <c r="G496" s="27">
        <v>26145</v>
      </c>
      <c r="H496" s="27">
        <v>24576.3</v>
      </c>
      <c r="I496" s="27">
        <v>7146.2999999999993</v>
      </c>
      <c r="J496" s="7" t="s">
        <v>227</v>
      </c>
    </row>
    <row r="497" spans="1:10" x14ac:dyDescent="0.25">
      <c r="A497" s="7" t="s">
        <v>216</v>
      </c>
      <c r="B497" s="7" t="s">
        <v>230</v>
      </c>
      <c r="C497" s="7" t="s">
        <v>231</v>
      </c>
      <c r="D497" s="7">
        <v>1153</v>
      </c>
      <c r="E497" s="27">
        <v>10</v>
      </c>
      <c r="F497" s="27">
        <v>15</v>
      </c>
      <c r="G497" s="27">
        <v>17295</v>
      </c>
      <c r="H497" s="27">
        <v>16257.3</v>
      </c>
      <c r="I497" s="27">
        <v>4727.2999999999993</v>
      </c>
      <c r="J497" s="7" t="s">
        <v>234</v>
      </c>
    </row>
    <row r="498" spans="1:10" hidden="1" x14ac:dyDescent="0.25">
      <c r="A498" s="7" t="s">
        <v>211</v>
      </c>
      <c r="B498" s="7" t="s">
        <v>217</v>
      </c>
      <c r="C498" s="7" t="s">
        <v>231</v>
      </c>
      <c r="D498" s="7">
        <v>1757</v>
      </c>
      <c r="E498" s="27">
        <v>10</v>
      </c>
      <c r="F498" s="27">
        <v>20</v>
      </c>
      <c r="G498" s="27">
        <v>35140</v>
      </c>
      <c r="H498" s="27">
        <v>33031.599999999999</v>
      </c>
      <c r="I498" s="27">
        <v>15461.599999999999</v>
      </c>
      <c r="J498" s="7" t="s">
        <v>229</v>
      </c>
    </row>
    <row r="499" spans="1:10" hidden="1" x14ac:dyDescent="0.25">
      <c r="A499" s="7" t="s">
        <v>211</v>
      </c>
      <c r="B499" s="7" t="s">
        <v>215</v>
      </c>
      <c r="C499" s="7" t="s">
        <v>237</v>
      </c>
      <c r="D499" s="7">
        <v>1001</v>
      </c>
      <c r="E499" s="27">
        <v>120</v>
      </c>
      <c r="F499" s="27">
        <v>20</v>
      </c>
      <c r="G499" s="27">
        <v>20020</v>
      </c>
      <c r="H499" s="27">
        <v>18818.8</v>
      </c>
      <c r="I499" s="27">
        <v>8808.7999999999993</v>
      </c>
      <c r="J499" s="7" t="s">
        <v>227</v>
      </c>
    </row>
    <row r="500" spans="1:10" hidden="1" x14ac:dyDescent="0.25">
      <c r="A500" s="7" t="s">
        <v>211</v>
      </c>
      <c r="B500" s="7" t="s">
        <v>219</v>
      </c>
      <c r="C500" s="7" t="s">
        <v>237</v>
      </c>
      <c r="D500" s="7">
        <v>1333</v>
      </c>
      <c r="E500" s="27">
        <v>120</v>
      </c>
      <c r="F500" s="27">
        <v>7</v>
      </c>
      <c r="G500" s="27">
        <v>9331</v>
      </c>
      <c r="H500" s="27">
        <v>8771.14</v>
      </c>
      <c r="I500" s="27">
        <v>2106.1399999999994</v>
      </c>
      <c r="J500" s="7" t="s">
        <v>242</v>
      </c>
    </row>
    <row r="501" spans="1:10" x14ac:dyDescent="0.25">
      <c r="A501" s="7" t="s">
        <v>216</v>
      </c>
      <c r="B501" s="7" t="s">
        <v>230</v>
      </c>
      <c r="C501" s="7" t="s">
        <v>238</v>
      </c>
      <c r="D501" s="7">
        <v>1153</v>
      </c>
      <c r="E501" s="27">
        <v>250</v>
      </c>
      <c r="F501" s="27">
        <v>15</v>
      </c>
      <c r="G501" s="27">
        <v>17295</v>
      </c>
      <c r="H501" s="27">
        <v>16257.3</v>
      </c>
      <c r="I501" s="27">
        <v>4727.2999999999993</v>
      </c>
      <c r="J501" s="7" t="s">
        <v>234</v>
      </c>
    </row>
    <row r="502" spans="1:10" hidden="1" x14ac:dyDescent="0.25">
      <c r="A502" s="7" t="s">
        <v>223</v>
      </c>
      <c r="B502" s="7" t="s">
        <v>219</v>
      </c>
      <c r="C502" s="7" t="s">
        <v>213</v>
      </c>
      <c r="D502" s="7">
        <v>727</v>
      </c>
      <c r="E502" s="27">
        <v>3</v>
      </c>
      <c r="F502" s="27">
        <v>12</v>
      </c>
      <c r="G502" s="27">
        <v>8724</v>
      </c>
      <c r="H502" s="27">
        <v>8113.32</v>
      </c>
      <c r="I502" s="27">
        <v>5932.32</v>
      </c>
      <c r="J502" s="7" t="s">
        <v>232</v>
      </c>
    </row>
    <row r="503" spans="1:10" hidden="1" x14ac:dyDescent="0.25">
      <c r="A503" s="7" t="s">
        <v>223</v>
      </c>
      <c r="B503" s="7" t="s">
        <v>212</v>
      </c>
      <c r="C503" s="7" t="s">
        <v>213</v>
      </c>
      <c r="D503" s="7">
        <v>1884</v>
      </c>
      <c r="E503" s="27">
        <v>3</v>
      </c>
      <c r="F503" s="27">
        <v>12</v>
      </c>
      <c r="G503" s="27">
        <v>22608</v>
      </c>
      <c r="H503" s="27">
        <v>21025.439999999999</v>
      </c>
      <c r="I503" s="27">
        <v>15373.439999999999</v>
      </c>
      <c r="J503" s="7" t="s">
        <v>227</v>
      </c>
    </row>
    <row r="504" spans="1:10" hidden="1" x14ac:dyDescent="0.25">
      <c r="A504" s="7" t="s">
        <v>211</v>
      </c>
      <c r="B504" s="7" t="s">
        <v>219</v>
      </c>
      <c r="C504" s="7" t="s">
        <v>213</v>
      </c>
      <c r="D504" s="7">
        <v>1834</v>
      </c>
      <c r="E504" s="27">
        <v>3</v>
      </c>
      <c r="F504" s="27">
        <v>20</v>
      </c>
      <c r="G504" s="27">
        <v>36680</v>
      </c>
      <c r="H504" s="27">
        <v>34112.400000000001</v>
      </c>
      <c r="I504" s="27">
        <v>15772.400000000001</v>
      </c>
      <c r="J504" s="7" t="s">
        <v>233</v>
      </c>
    </row>
    <row r="505" spans="1:10" hidden="1" x14ac:dyDescent="0.25">
      <c r="A505" s="7" t="s">
        <v>223</v>
      </c>
      <c r="B505" s="7" t="s">
        <v>219</v>
      </c>
      <c r="C505" s="7" t="s">
        <v>221</v>
      </c>
      <c r="D505" s="7">
        <v>2340</v>
      </c>
      <c r="E505" s="27">
        <v>5</v>
      </c>
      <c r="F505" s="27">
        <v>12</v>
      </c>
      <c r="G505" s="27">
        <v>28080</v>
      </c>
      <c r="H505" s="27">
        <v>26114.400000000001</v>
      </c>
      <c r="I505" s="27">
        <v>19094.400000000001</v>
      </c>
      <c r="J505" s="7" t="s">
        <v>214</v>
      </c>
    </row>
    <row r="506" spans="1:10" hidden="1" x14ac:dyDescent="0.25">
      <c r="A506" s="7" t="s">
        <v>223</v>
      </c>
      <c r="B506" s="7" t="s">
        <v>217</v>
      </c>
      <c r="C506" s="7" t="s">
        <v>221</v>
      </c>
      <c r="D506" s="7">
        <v>2342</v>
      </c>
      <c r="E506" s="27">
        <v>5</v>
      </c>
      <c r="F506" s="27">
        <v>12</v>
      </c>
      <c r="G506" s="27">
        <v>28104</v>
      </c>
      <c r="H506" s="27">
        <v>26136.720000000001</v>
      </c>
      <c r="I506" s="27">
        <v>19110.72</v>
      </c>
      <c r="J506" s="7" t="s">
        <v>242</v>
      </c>
    </row>
    <row r="507" spans="1:10" hidden="1" x14ac:dyDescent="0.25">
      <c r="A507" s="7" t="s">
        <v>211</v>
      </c>
      <c r="B507" s="7" t="s">
        <v>217</v>
      </c>
      <c r="C507" s="7" t="s">
        <v>231</v>
      </c>
      <c r="D507" s="7">
        <v>1031</v>
      </c>
      <c r="E507" s="27">
        <v>10</v>
      </c>
      <c r="F507" s="27">
        <v>7</v>
      </c>
      <c r="G507" s="27">
        <v>7217</v>
      </c>
      <c r="H507" s="27">
        <v>6711.81</v>
      </c>
      <c r="I507" s="27">
        <v>1556.8100000000004</v>
      </c>
      <c r="J507" s="7" t="s">
        <v>233</v>
      </c>
    </row>
    <row r="508" spans="1:10" hidden="1" x14ac:dyDescent="0.25">
      <c r="A508" s="7" t="s">
        <v>216</v>
      </c>
      <c r="B508" s="7" t="s">
        <v>212</v>
      </c>
      <c r="C508" s="7" t="s">
        <v>237</v>
      </c>
      <c r="D508" s="7">
        <v>1262</v>
      </c>
      <c r="E508" s="27">
        <v>120</v>
      </c>
      <c r="F508" s="27">
        <v>15</v>
      </c>
      <c r="G508" s="27">
        <v>18930</v>
      </c>
      <c r="H508" s="27">
        <v>17604.900000000001</v>
      </c>
      <c r="I508" s="27">
        <v>4984.9000000000015</v>
      </c>
      <c r="J508" s="7" t="s">
        <v>241</v>
      </c>
    </row>
    <row r="509" spans="1:10" hidden="1" x14ac:dyDescent="0.25">
      <c r="A509" s="7" t="s">
        <v>211</v>
      </c>
      <c r="B509" s="7" t="s">
        <v>212</v>
      </c>
      <c r="C509" s="7" t="s">
        <v>237</v>
      </c>
      <c r="D509" s="7">
        <v>1135</v>
      </c>
      <c r="E509" s="27">
        <v>120</v>
      </c>
      <c r="F509" s="27">
        <v>7</v>
      </c>
      <c r="G509" s="27">
        <v>7945</v>
      </c>
      <c r="H509" s="27">
        <v>7388.85</v>
      </c>
      <c r="I509" s="27">
        <v>1713.8500000000004</v>
      </c>
      <c r="J509" s="7" t="s">
        <v>218</v>
      </c>
    </row>
    <row r="510" spans="1:10" x14ac:dyDescent="0.25">
      <c r="A510" s="7" t="s">
        <v>211</v>
      </c>
      <c r="B510" s="7" t="s">
        <v>230</v>
      </c>
      <c r="C510" s="7" t="s">
        <v>237</v>
      </c>
      <c r="D510" s="7">
        <v>547</v>
      </c>
      <c r="E510" s="27">
        <v>120</v>
      </c>
      <c r="F510" s="27">
        <v>7</v>
      </c>
      <c r="G510" s="27">
        <v>3829</v>
      </c>
      <c r="H510" s="27">
        <v>3560.9700000000003</v>
      </c>
      <c r="I510" s="27">
        <v>825.97000000000025</v>
      </c>
      <c r="J510" s="7" t="s">
        <v>242</v>
      </c>
    </row>
    <row r="511" spans="1:10" hidden="1" x14ac:dyDescent="0.25">
      <c r="A511" s="7" t="s">
        <v>211</v>
      </c>
      <c r="B511" s="7" t="s">
        <v>212</v>
      </c>
      <c r="C511" s="7" t="s">
        <v>237</v>
      </c>
      <c r="D511" s="7">
        <v>1582</v>
      </c>
      <c r="E511" s="27">
        <v>120</v>
      </c>
      <c r="F511" s="27">
        <v>7</v>
      </c>
      <c r="G511" s="27">
        <v>11074</v>
      </c>
      <c r="H511" s="27">
        <v>10298.82</v>
      </c>
      <c r="I511" s="27">
        <v>2388.8199999999997</v>
      </c>
      <c r="J511" s="7" t="s">
        <v>220</v>
      </c>
    </row>
    <row r="512" spans="1:10" hidden="1" x14ac:dyDescent="0.25">
      <c r="A512" s="7" t="s">
        <v>223</v>
      </c>
      <c r="B512" s="7" t="s">
        <v>217</v>
      </c>
      <c r="C512" s="7" t="s">
        <v>238</v>
      </c>
      <c r="D512" s="7">
        <v>1738.5</v>
      </c>
      <c r="E512" s="27">
        <v>250</v>
      </c>
      <c r="F512" s="27">
        <v>12</v>
      </c>
      <c r="G512" s="27">
        <v>20862</v>
      </c>
      <c r="H512" s="27">
        <v>19401.66</v>
      </c>
      <c r="I512" s="27">
        <v>14186.16</v>
      </c>
      <c r="J512" s="7" t="s">
        <v>239</v>
      </c>
    </row>
    <row r="513" spans="1:10" hidden="1" x14ac:dyDescent="0.25">
      <c r="A513" s="7" t="s">
        <v>223</v>
      </c>
      <c r="B513" s="7" t="s">
        <v>215</v>
      </c>
      <c r="C513" s="7" t="s">
        <v>238</v>
      </c>
      <c r="D513" s="7">
        <v>2215</v>
      </c>
      <c r="E513" s="27">
        <v>250</v>
      </c>
      <c r="F513" s="27">
        <v>12</v>
      </c>
      <c r="G513" s="27">
        <v>26580</v>
      </c>
      <c r="H513" s="27">
        <v>24719.4</v>
      </c>
      <c r="I513" s="27">
        <v>18074.400000000001</v>
      </c>
      <c r="J513" s="7" t="s">
        <v>233</v>
      </c>
    </row>
    <row r="514" spans="1:10" hidden="1" x14ac:dyDescent="0.25">
      <c r="A514" s="7" t="s">
        <v>211</v>
      </c>
      <c r="B514" s="7" t="s">
        <v>212</v>
      </c>
      <c r="C514" s="7" t="s">
        <v>238</v>
      </c>
      <c r="D514" s="7">
        <v>1582</v>
      </c>
      <c r="E514" s="27">
        <v>250</v>
      </c>
      <c r="F514" s="27">
        <v>7</v>
      </c>
      <c r="G514" s="27">
        <v>11074</v>
      </c>
      <c r="H514" s="27">
        <v>10298.82</v>
      </c>
      <c r="I514" s="27">
        <v>2388.8199999999997</v>
      </c>
      <c r="J514" s="7" t="s">
        <v>220</v>
      </c>
    </row>
    <row r="515" spans="1:10" hidden="1" x14ac:dyDescent="0.25">
      <c r="A515" s="7" t="s">
        <v>211</v>
      </c>
      <c r="B515" s="7" t="s">
        <v>212</v>
      </c>
      <c r="C515" s="7" t="s">
        <v>240</v>
      </c>
      <c r="D515" s="7">
        <v>1135</v>
      </c>
      <c r="E515" s="27">
        <v>260</v>
      </c>
      <c r="F515" s="27">
        <v>7</v>
      </c>
      <c r="G515" s="27">
        <v>7945</v>
      </c>
      <c r="H515" s="27">
        <v>7388.85</v>
      </c>
      <c r="I515" s="27">
        <v>1713.8500000000004</v>
      </c>
      <c r="J515" s="7" t="s">
        <v>218</v>
      </c>
    </row>
    <row r="516" spans="1:10" x14ac:dyDescent="0.25">
      <c r="A516" s="7" t="s">
        <v>211</v>
      </c>
      <c r="B516" s="7" t="s">
        <v>230</v>
      </c>
      <c r="C516" s="7" t="s">
        <v>213</v>
      </c>
      <c r="D516" s="7">
        <v>1761</v>
      </c>
      <c r="E516" s="27">
        <v>3</v>
      </c>
      <c r="F516" s="27">
        <v>350</v>
      </c>
      <c r="G516" s="27">
        <v>616350</v>
      </c>
      <c r="H516" s="27">
        <v>573205.5</v>
      </c>
      <c r="I516" s="27">
        <v>115345.5</v>
      </c>
      <c r="J516" s="7" t="s">
        <v>222</v>
      </c>
    </row>
    <row r="517" spans="1:10" hidden="1" x14ac:dyDescent="0.25">
      <c r="A517" s="7" t="s">
        <v>226</v>
      </c>
      <c r="B517" s="7" t="s">
        <v>217</v>
      </c>
      <c r="C517" s="7" t="s">
        <v>213</v>
      </c>
      <c r="D517" s="7">
        <v>448</v>
      </c>
      <c r="E517" s="27">
        <v>3</v>
      </c>
      <c r="F517" s="27">
        <v>300</v>
      </c>
      <c r="G517" s="27">
        <v>134400</v>
      </c>
      <c r="H517" s="27">
        <v>124992</v>
      </c>
      <c r="I517" s="27">
        <v>12992</v>
      </c>
      <c r="J517" s="7" t="s">
        <v>218</v>
      </c>
    </row>
    <row r="518" spans="1:10" hidden="1" x14ac:dyDescent="0.25">
      <c r="A518" s="7" t="s">
        <v>226</v>
      </c>
      <c r="B518" s="7" t="s">
        <v>217</v>
      </c>
      <c r="C518" s="7" t="s">
        <v>213</v>
      </c>
      <c r="D518" s="7">
        <v>2181</v>
      </c>
      <c r="E518" s="27">
        <v>3</v>
      </c>
      <c r="F518" s="27">
        <v>300</v>
      </c>
      <c r="G518" s="27">
        <v>654300</v>
      </c>
      <c r="H518" s="27">
        <v>608499</v>
      </c>
      <c r="I518" s="27">
        <v>63249</v>
      </c>
      <c r="J518" s="7" t="s">
        <v>234</v>
      </c>
    </row>
    <row r="519" spans="1:10" hidden="1" x14ac:dyDescent="0.25">
      <c r="A519" s="7" t="s">
        <v>211</v>
      </c>
      <c r="B519" s="7" t="s">
        <v>217</v>
      </c>
      <c r="C519" s="7" t="s">
        <v>221</v>
      </c>
      <c r="D519" s="7">
        <v>1976</v>
      </c>
      <c r="E519" s="27">
        <v>5</v>
      </c>
      <c r="F519" s="27">
        <v>20</v>
      </c>
      <c r="G519" s="27">
        <v>39520</v>
      </c>
      <c r="H519" s="27">
        <v>36753.599999999999</v>
      </c>
      <c r="I519" s="27">
        <v>16993.599999999999</v>
      </c>
      <c r="J519" s="7" t="s">
        <v>234</v>
      </c>
    </row>
    <row r="520" spans="1:10" hidden="1" x14ac:dyDescent="0.25">
      <c r="A520" s="7" t="s">
        <v>226</v>
      </c>
      <c r="B520" s="7" t="s">
        <v>217</v>
      </c>
      <c r="C520" s="7" t="s">
        <v>221</v>
      </c>
      <c r="D520" s="7">
        <v>2181</v>
      </c>
      <c r="E520" s="27">
        <v>5</v>
      </c>
      <c r="F520" s="27">
        <v>300</v>
      </c>
      <c r="G520" s="27">
        <v>654300</v>
      </c>
      <c r="H520" s="27">
        <v>608499</v>
      </c>
      <c r="I520" s="27">
        <v>63249</v>
      </c>
      <c r="J520" s="7" t="s">
        <v>234</v>
      </c>
    </row>
    <row r="521" spans="1:10" hidden="1" x14ac:dyDescent="0.25">
      <c r="A521" s="7" t="s">
        <v>224</v>
      </c>
      <c r="B521" s="7" t="s">
        <v>215</v>
      </c>
      <c r="C521" s="7" t="s">
        <v>221</v>
      </c>
      <c r="D521" s="7">
        <v>2500</v>
      </c>
      <c r="E521" s="27">
        <v>5</v>
      </c>
      <c r="F521" s="27">
        <v>125</v>
      </c>
      <c r="G521" s="27">
        <v>312500</v>
      </c>
      <c r="H521" s="27">
        <v>290625</v>
      </c>
      <c r="I521" s="27">
        <v>-9375</v>
      </c>
      <c r="J521" s="7" t="s">
        <v>235</v>
      </c>
    </row>
    <row r="522" spans="1:10" hidden="1" x14ac:dyDescent="0.25">
      <c r="A522" s="7" t="s">
        <v>226</v>
      </c>
      <c r="B522" s="7" t="s">
        <v>212</v>
      </c>
      <c r="C522" s="7" t="s">
        <v>231</v>
      </c>
      <c r="D522" s="7">
        <v>1702</v>
      </c>
      <c r="E522" s="27">
        <v>10</v>
      </c>
      <c r="F522" s="27">
        <v>300</v>
      </c>
      <c r="G522" s="27">
        <v>510600</v>
      </c>
      <c r="H522" s="27">
        <v>474858</v>
      </c>
      <c r="I522" s="27">
        <v>49358</v>
      </c>
      <c r="J522" s="7" t="s">
        <v>241</v>
      </c>
    </row>
    <row r="523" spans="1:10" hidden="1" x14ac:dyDescent="0.25">
      <c r="A523" s="7" t="s">
        <v>226</v>
      </c>
      <c r="B523" s="7" t="s">
        <v>217</v>
      </c>
      <c r="C523" s="7" t="s">
        <v>231</v>
      </c>
      <c r="D523" s="7">
        <v>448</v>
      </c>
      <c r="E523" s="27">
        <v>10</v>
      </c>
      <c r="F523" s="27">
        <v>300</v>
      </c>
      <c r="G523" s="27">
        <v>134400</v>
      </c>
      <c r="H523" s="27">
        <v>124992</v>
      </c>
      <c r="I523" s="27">
        <v>12992</v>
      </c>
      <c r="J523" s="7" t="s">
        <v>218</v>
      </c>
    </row>
    <row r="524" spans="1:10" hidden="1" x14ac:dyDescent="0.25">
      <c r="A524" s="7" t="s">
        <v>224</v>
      </c>
      <c r="B524" s="7" t="s">
        <v>215</v>
      </c>
      <c r="C524" s="7" t="s">
        <v>231</v>
      </c>
      <c r="D524" s="7">
        <v>3513</v>
      </c>
      <c r="E524" s="27">
        <v>10</v>
      </c>
      <c r="F524" s="27">
        <v>125</v>
      </c>
      <c r="G524" s="27">
        <v>439125</v>
      </c>
      <c r="H524" s="27">
        <v>408386.25</v>
      </c>
      <c r="I524" s="27">
        <v>-13173.75</v>
      </c>
      <c r="J524" s="7" t="s">
        <v>225</v>
      </c>
    </row>
    <row r="525" spans="1:10" hidden="1" x14ac:dyDescent="0.25">
      <c r="A525" s="7" t="s">
        <v>216</v>
      </c>
      <c r="B525" s="7" t="s">
        <v>217</v>
      </c>
      <c r="C525" s="7" t="s">
        <v>231</v>
      </c>
      <c r="D525" s="7">
        <v>2101</v>
      </c>
      <c r="E525" s="27">
        <v>10</v>
      </c>
      <c r="F525" s="27">
        <v>15</v>
      </c>
      <c r="G525" s="27">
        <v>31515</v>
      </c>
      <c r="H525" s="27">
        <v>29308.95</v>
      </c>
      <c r="I525" s="27">
        <v>8298.9500000000007</v>
      </c>
      <c r="J525" s="7" t="s">
        <v>227</v>
      </c>
    </row>
    <row r="526" spans="1:10" x14ac:dyDescent="0.25">
      <c r="A526" s="7" t="s">
        <v>216</v>
      </c>
      <c r="B526" s="7" t="s">
        <v>230</v>
      </c>
      <c r="C526" s="7" t="s">
        <v>231</v>
      </c>
      <c r="D526" s="7">
        <v>2931</v>
      </c>
      <c r="E526" s="27">
        <v>10</v>
      </c>
      <c r="F526" s="27">
        <v>15</v>
      </c>
      <c r="G526" s="27">
        <v>43965</v>
      </c>
      <c r="H526" s="27">
        <v>40887.449999999997</v>
      </c>
      <c r="I526" s="27">
        <v>11577.449999999997</v>
      </c>
      <c r="J526" s="7" t="s">
        <v>233</v>
      </c>
    </row>
    <row r="527" spans="1:10" hidden="1" x14ac:dyDescent="0.25">
      <c r="A527" s="7" t="s">
        <v>211</v>
      </c>
      <c r="B527" s="7" t="s">
        <v>217</v>
      </c>
      <c r="C527" s="7" t="s">
        <v>231</v>
      </c>
      <c r="D527" s="7">
        <v>1535</v>
      </c>
      <c r="E527" s="27">
        <v>10</v>
      </c>
      <c r="F527" s="27">
        <v>20</v>
      </c>
      <c r="G527" s="27">
        <v>30700</v>
      </c>
      <c r="H527" s="27">
        <v>28551</v>
      </c>
      <c r="I527" s="27">
        <v>13201</v>
      </c>
      <c r="J527" s="7" t="s">
        <v>228</v>
      </c>
    </row>
    <row r="528" spans="1:10" hidden="1" x14ac:dyDescent="0.25">
      <c r="A528" s="7" t="s">
        <v>226</v>
      </c>
      <c r="B528" s="7" t="s">
        <v>215</v>
      </c>
      <c r="C528" s="7" t="s">
        <v>231</v>
      </c>
      <c r="D528" s="7">
        <v>1123</v>
      </c>
      <c r="E528" s="27">
        <v>10</v>
      </c>
      <c r="F528" s="27">
        <v>300</v>
      </c>
      <c r="G528" s="27">
        <v>336900</v>
      </c>
      <c r="H528" s="27">
        <v>313317</v>
      </c>
      <c r="I528" s="27">
        <v>32567</v>
      </c>
      <c r="J528" s="7" t="s">
        <v>233</v>
      </c>
    </row>
    <row r="529" spans="1:10" hidden="1" x14ac:dyDescent="0.25">
      <c r="A529" s="7" t="s">
        <v>226</v>
      </c>
      <c r="B529" s="7" t="s">
        <v>212</v>
      </c>
      <c r="C529" s="7" t="s">
        <v>231</v>
      </c>
      <c r="D529" s="7">
        <v>1404</v>
      </c>
      <c r="E529" s="27">
        <v>10</v>
      </c>
      <c r="F529" s="27">
        <v>300</v>
      </c>
      <c r="G529" s="27">
        <v>421200</v>
      </c>
      <c r="H529" s="27">
        <v>391716</v>
      </c>
      <c r="I529" s="27">
        <v>40716</v>
      </c>
      <c r="J529" s="7" t="s">
        <v>235</v>
      </c>
    </row>
    <row r="530" spans="1:10" hidden="1" x14ac:dyDescent="0.25">
      <c r="A530" s="7" t="s">
        <v>223</v>
      </c>
      <c r="B530" s="7" t="s">
        <v>219</v>
      </c>
      <c r="C530" s="7" t="s">
        <v>231</v>
      </c>
      <c r="D530" s="7">
        <v>2763</v>
      </c>
      <c r="E530" s="27">
        <v>10</v>
      </c>
      <c r="F530" s="27">
        <v>12</v>
      </c>
      <c r="G530" s="27">
        <v>33156</v>
      </c>
      <c r="H530" s="27">
        <v>30835.08</v>
      </c>
      <c r="I530" s="27">
        <v>22546.080000000002</v>
      </c>
      <c r="J530" s="7" t="s">
        <v>235</v>
      </c>
    </row>
    <row r="531" spans="1:10" hidden="1" x14ac:dyDescent="0.25">
      <c r="A531" s="7" t="s">
        <v>211</v>
      </c>
      <c r="B531" s="7" t="s">
        <v>215</v>
      </c>
      <c r="C531" s="7" t="s">
        <v>231</v>
      </c>
      <c r="D531" s="7">
        <v>2125</v>
      </c>
      <c r="E531" s="27">
        <v>10</v>
      </c>
      <c r="F531" s="27">
        <v>7</v>
      </c>
      <c r="G531" s="27">
        <v>14875</v>
      </c>
      <c r="H531" s="27">
        <v>13833.75</v>
      </c>
      <c r="I531" s="27">
        <v>3208.75</v>
      </c>
      <c r="J531" s="7" t="s">
        <v>236</v>
      </c>
    </row>
    <row r="532" spans="1:10" hidden="1" x14ac:dyDescent="0.25">
      <c r="A532" s="7" t="s">
        <v>226</v>
      </c>
      <c r="B532" s="7" t="s">
        <v>217</v>
      </c>
      <c r="C532" s="7" t="s">
        <v>237</v>
      </c>
      <c r="D532" s="7">
        <v>1659</v>
      </c>
      <c r="E532" s="27">
        <v>120</v>
      </c>
      <c r="F532" s="27">
        <v>300</v>
      </c>
      <c r="G532" s="27">
        <v>497700</v>
      </c>
      <c r="H532" s="27">
        <v>462861</v>
      </c>
      <c r="I532" s="27">
        <v>48111</v>
      </c>
      <c r="J532" s="7" t="s">
        <v>225</v>
      </c>
    </row>
    <row r="533" spans="1:10" hidden="1" x14ac:dyDescent="0.25">
      <c r="A533" s="7" t="s">
        <v>211</v>
      </c>
      <c r="B533" s="7" t="s">
        <v>219</v>
      </c>
      <c r="C533" s="7" t="s">
        <v>237</v>
      </c>
      <c r="D533" s="7">
        <v>609</v>
      </c>
      <c r="E533" s="27">
        <v>120</v>
      </c>
      <c r="F533" s="27">
        <v>20</v>
      </c>
      <c r="G533" s="27">
        <v>12180</v>
      </c>
      <c r="H533" s="27">
        <v>11327.4</v>
      </c>
      <c r="I533" s="27">
        <v>5237.3999999999996</v>
      </c>
      <c r="J533" s="7" t="s">
        <v>227</v>
      </c>
    </row>
    <row r="534" spans="1:10" hidden="1" x14ac:dyDescent="0.25">
      <c r="A534" s="7" t="s">
        <v>224</v>
      </c>
      <c r="B534" s="7" t="s">
        <v>215</v>
      </c>
      <c r="C534" s="7" t="s">
        <v>237</v>
      </c>
      <c r="D534" s="7">
        <v>2087</v>
      </c>
      <c r="E534" s="27">
        <v>120</v>
      </c>
      <c r="F534" s="27">
        <v>125</v>
      </c>
      <c r="G534" s="27">
        <v>260875</v>
      </c>
      <c r="H534" s="27">
        <v>242613.75</v>
      </c>
      <c r="I534" s="27">
        <v>-7826.25</v>
      </c>
      <c r="J534" s="7" t="s">
        <v>228</v>
      </c>
    </row>
    <row r="535" spans="1:10" hidden="1" x14ac:dyDescent="0.25">
      <c r="A535" s="7" t="s">
        <v>211</v>
      </c>
      <c r="B535" s="7" t="s">
        <v>217</v>
      </c>
      <c r="C535" s="7" t="s">
        <v>237</v>
      </c>
      <c r="D535" s="7">
        <v>1976</v>
      </c>
      <c r="E535" s="27">
        <v>120</v>
      </c>
      <c r="F535" s="27">
        <v>20</v>
      </c>
      <c r="G535" s="27">
        <v>39520</v>
      </c>
      <c r="H535" s="27">
        <v>36753.599999999999</v>
      </c>
      <c r="I535" s="27">
        <v>16993.599999999999</v>
      </c>
      <c r="J535" s="7" t="s">
        <v>234</v>
      </c>
    </row>
    <row r="536" spans="1:10" x14ac:dyDescent="0.25">
      <c r="A536" s="7" t="s">
        <v>211</v>
      </c>
      <c r="B536" s="7" t="s">
        <v>230</v>
      </c>
      <c r="C536" s="7" t="s">
        <v>237</v>
      </c>
      <c r="D536" s="7">
        <v>1421</v>
      </c>
      <c r="E536" s="27">
        <v>120</v>
      </c>
      <c r="F536" s="27">
        <v>20</v>
      </c>
      <c r="G536" s="27">
        <v>28420</v>
      </c>
      <c r="H536" s="27">
        <v>26430.6</v>
      </c>
      <c r="I536" s="27">
        <v>12220.599999999999</v>
      </c>
      <c r="J536" s="7" t="s">
        <v>236</v>
      </c>
    </row>
    <row r="537" spans="1:10" x14ac:dyDescent="0.25">
      <c r="A537" s="7" t="s">
        <v>226</v>
      </c>
      <c r="B537" s="7" t="s">
        <v>230</v>
      </c>
      <c r="C537" s="7" t="s">
        <v>237</v>
      </c>
      <c r="D537" s="7">
        <v>1372</v>
      </c>
      <c r="E537" s="27">
        <v>120</v>
      </c>
      <c r="F537" s="27">
        <v>300</v>
      </c>
      <c r="G537" s="27">
        <v>411600</v>
      </c>
      <c r="H537" s="27">
        <v>382788</v>
      </c>
      <c r="I537" s="27">
        <v>39788</v>
      </c>
      <c r="J537" s="7" t="s">
        <v>220</v>
      </c>
    </row>
    <row r="538" spans="1:10" hidden="1" x14ac:dyDescent="0.25">
      <c r="A538" s="7" t="s">
        <v>211</v>
      </c>
      <c r="B538" s="7" t="s">
        <v>215</v>
      </c>
      <c r="C538" s="7" t="s">
        <v>237</v>
      </c>
      <c r="D538" s="7">
        <v>588</v>
      </c>
      <c r="E538" s="27">
        <v>120</v>
      </c>
      <c r="F538" s="27">
        <v>20</v>
      </c>
      <c r="G538" s="27">
        <v>11760</v>
      </c>
      <c r="H538" s="27">
        <v>10936.8</v>
      </c>
      <c r="I538" s="27">
        <v>5056.7999999999993</v>
      </c>
      <c r="J538" s="7" t="s">
        <v>236</v>
      </c>
    </row>
    <row r="539" spans="1:10" hidden="1" x14ac:dyDescent="0.25">
      <c r="A539" s="7" t="s">
        <v>223</v>
      </c>
      <c r="B539" s="7" t="s">
        <v>212</v>
      </c>
      <c r="C539" s="7" t="s">
        <v>238</v>
      </c>
      <c r="D539" s="7">
        <v>3244.5</v>
      </c>
      <c r="E539" s="27">
        <v>250</v>
      </c>
      <c r="F539" s="27">
        <v>12</v>
      </c>
      <c r="G539" s="27">
        <v>38934</v>
      </c>
      <c r="H539" s="27">
        <v>36208.620000000003</v>
      </c>
      <c r="I539" s="27">
        <v>26475.120000000003</v>
      </c>
      <c r="J539" s="7" t="s">
        <v>214</v>
      </c>
    </row>
    <row r="540" spans="1:10" hidden="1" x14ac:dyDescent="0.25">
      <c r="A540" s="7" t="s">
        <v>226</v>
      </c>
      <c r="B540" s="7" t="s">
        <v>217</v>
      </c>
      <c r="C540" s="7" t="s">
        <v>238</v>
      </c>
      <c r="D540" s="7">
        <v>959</v>
      </c>
      <c r="E540" s="27">
        <v>250</v>
      </c>
      <c r="F540" s="27">
        <v>300</v>
      </c>
      <c r="G540" s="27">
        <v>287700</v>
      </c>
      <c r="H540" s="27">
        <v>267561</v>
      </c>
      <c r="I540" s="27">
        <v>27811</v>
      </c>
      <c r="J540" s="7" t="s">
        <v>232</v>
      </c>
    </row>
    <row r="541" spans="1:10" hidden="1" x14ac:dyDescent="0.25">
      <c r="A541" s="7" t="s">
        <v>226</v>
      </c>
      <c r="B541" s="7" t="s">
        <v>219</v>
      </c>
      <c r="C541" s="7" t="s">
        <v>238</v>
      </c>
      <c r="D541" s="7">
        <v>2747</v>
      </c>
      <c r="E541" s="27">
        <v>250</v>
      </c>
      <c r="F541" s="27">
        <v>300</v>
      </c>
      <c r="G541" s="27">
        <v>824100</v>
      </c>
      <c r="H541" s="27">
        <v>766413</v>
      </c>
      <c r="I541" s="27">
        <v>79663</v>
      </c>
      <c r="J541" s="7" t="s">
        <v>232</v>
      </c>
    </row>
    <row r="542" spans="1:10" hidden="1" x14ac:dyDescent="0.25">
      <c r="A542" s="7" t="s">
        <v>224</v>
      </c>
      <c r="B542" s="7" t="s">
        <v>212</v>
      </c>
      <c r="C542" s="7" t="s">
        <v>240</v>
      </c>
      <c r="D542" s="7">
        <v>1645</v>
      </c>
      <c r="E542" s="27">
        <v>260</v>
      </c>
      <c r="F542" s="27">
        <v>125</v>
      </c>
      <c r="G542" s="27">
        <v>205625</v>
      </c>
      <c r="H542" s="27">
        <v>191231.25</v>
      </c>
      <c r="I542" s="27">
        <v>-6168.75</v>
      </c>
      <c r="J542" s="7" t="s">
        <v>241</v>
      </c>
    </row>
    <row r="543" spans="1:10" hidden="1" x14ac:dyDescent="0.25">
      <c r="A543" s="7" t="s">
        <v>211</v>
      </c>
      <c r="B543" s="7" t="s">
        <v>217</v>
      </c>
      <c r="C543" s="7" t="s">
        <v>240</v>
      </c>
      <c r="D543" s="7">
        <v>2876</v>
      </c>
      <c r="E543" s="27">
        <v>260</v>
      </c>
      <c r="F543" s="27">
        <v>350</v>
      </c>
      <c r="G543" s="27">
        <v>1006600</v>
      </c>
      <c r="H543" s="27">
        <v>936138</v>
      </c>
      <c r="I543" s="27">
        <v>188378</v>
      </c>
      <c r="J543" s="7" t="s">
        <v>228</v>
      </c>
    </row>
    <row r="544" spans="1:10" hidden="1" x14ac:dyDescent="0.25">
      <c r="A544" s="7" t="s">
        <v>224</v>
      </c>
      <c r="B544" s="7" t="s">
        <v>215</v>
      </c>
      <c r="C544" s="7" t="s">
        <v>240</v>
      </c>
      <c r="D544" s="7">
        <v>994</v>
      </c>
      <c r="E544" s="27">
        <v>260</v>
      </c>
      <c r="F544" s="27">
        <v>125</v>
      </c>
      <c r="G544" s="27">
        <v>124250</v>
      </c>
      <c r="H544" s="27">
        <v>115552.5</v>
      </c>
      <c r="I544" s="27">
        <v>-3727.5</v>
      </c>
      <c r="J544" s="7" t="s">
        <v>233</v>
      </c>
    </row>
    <row r="545" spans="1:10" hidden="1" x14ac:dyDescent="0.25">
      <c r="A545" s="7" t="s">
        <v>211</v>
      </c>
      <c r="B545" s="7" t="s">
        <v>212</v>
      </c>
      <c r="C545" s="7" t="s">
        <v>240</v>
      </c>
      <c r="D545" s="7">
        <v>1118</v>
      </c>
      <c r="E545" s="27">
        <v>260</v>
      </c>
      <c r="F545" s="27">
        <v>20</v>
      </c>
      <c r="G545" s="27">
        <v>22360</v>
      </c>
      <c r="H545" s="27">
        <v>20794.8</v>
      </c>
      <c r="I545" s="27">
        <v>9614.7999999999993</v>
      </c>
      <c r="J545" s="7" t="s">
        <v>242</v>
      </c>
    </row>
    <row r="546" spans="1:10" x14ac:dyDescent="0.25">
      <c r="A546" s="7" t="s">
        <v>226</v>
      </c>
      <c r="B546" s="7" t="s">
        <v>230</v>
      </c>
      <c r="C546" s="7" t="s">
        <v>240</v>
      </c>
      <c r="D546" s="7">
        <v>1372</v>
      </c>
      <c r="E546" s="27">
        <v>260</v>
      </c>
      <c r="F546" s="27">
        <v>300</v>
      </c>
      <c r="G546" s="27">
        <v>411600</v>
      </c>
      <c r="H546" s="27">
        <v>382788</v>
      </c>
      <c r="I546" s="27">
        <v>39788</v>
      </c>
      <c r="J546" s="7" t="s">
        <v>220</v>
      </c>
    </row>
    <row r="547" spans="1:10" hidden="1" x14ac:dyDescent="0.25">
      <c r="A547" s="7" t="s">
        <v>211</v>
      </c>
      <c r="B547" s="7" t="s">
        <v>212</v>
      </c>
      <c r="C547" s="7" t="s">
        <v>221</v>
      </c>
      <c r="D547" s="7">
        <v>488</v>
      </c>
      <c r="E547" s="27">
        <v>5</v>
      </c>
      <c r="F547" s="27">
        <v>7</v>
      </c>
      <c r="G547" s="27">
        <v>3416</v>
      </c>
      <c r="H547" s="27">
        <v>3142.7200000000003</v>
      </c>
      <c r="I547" s="27">
        <v>702.72000000000025</v>
      </c>
      <c r="J547" s="7" t="s">
        <v>232</v>
      </c>
    </row>
    <row r="548" spans="1:10" x14ac:dyDescent="0.25">
      <c r="A548" s="7" t="s">
        <v>211</v>
      </c>
      <c r="B548" s="7" t="s">
        <v>230</v>
      </c>
      <c r="C548" s="7" t="s">
        <v>221</v>
      </c>
      <c r="D548" s="7">
        <v>1282</v>
      </c>
      <c r="E548" s="27">
        <v>5</v>
      </c>
      <c r="F548" s="27">
        <v>20</v>
      </c>
      <c r="G548" s="27">
        <v>25640</v>
      </c>
      <c r="H548" s="27">
        <v>23588.799999999999</v>
      </c>
      <c r="I548" s="27">
        <v>10768.8</v>
      </c>
      <c r="J548" s="7" t="s">
        <v>218</v>
      </c>
    </row>
    <row r="549" spans="1:10" hidden="1" x14ac:dyDescent="0.25">
      <c r="A549" s="7" t="s">
        <v>211</v>
      </c>
      <c r="B549" s="7" t="s">
        <v>212</v>
      </c>
      <c r="C549" s="7" t="s">
        <v>231</v>
      </c>
      <c r="D549" s="7">
        <v>257</v>
      </c>
      <c r="E549" s="27">
        <v>10</v>
      </c>
      <c r="F549" s="27">
        <v>7</v>
      </c>
      <c r="G549" s="27">
        <v>1799</v>
      </c>
      <c r="H549" s="27">
        <v>1655.08</v>
      </c>
      <c r="I549" s="27">
        <v>370.07999999999993</v>
      </c>
      <c r="J549" s="7" t="s">
        <v>241</v>
      </c>
    </row>
    <row r="550" spans="1:10" x14ac:dyDescent="0.25">
      <c r="A550" s="7" t="s">
        <v>211</v>
      </c>
      <c r="B550" s="7" t="s">
        <v>230</v>
      </c>
      <c r="C550" s="7" t="s">
        <v>240</v>
      </c>
      <c r="D550" s="7">
        <v>1282</v>
      </c>
      <c r="E550" s="27">
        <v>260</v>
      </c>
      <c r="F550" s="27">
        <v>20</v>
      </c>
      <c r="G550" s="27">
        <v>25640</v>
      </c>
      <c r="H550" s="27">
        <v>23588.799999999999</v>
      </c>
      <c r="I550" s="27">
        <v>10768.8</v>
      </c>
      <c r="J550" s="7" t="s">
        <v>218</v>
      </c>
    </row>
    <row r="551" spans="1:10" hidden="1" x14ac:dyDescent="0.25">
      <c r="A551" s="7" t="s">
        <v>224</v>
      </c>
      <c r="B551" s="7" t="s">
        <v>219</v>
      </c>
      <c r="C551" s="7" t="s">
        <v>213</v>
      </c>
      <c r="D551" s="7">
        <v>1540</v>
      </c>
      <c r="E551" s="27">
        <v>3</v>
      </c>
      <c r="F551" s="27">
        <v>125</v>
      </c>
      <c r="G551" s="27">
        <v>192500</v>
      </c>
      <c r="H551" s="27">
        <v>177100</v>
      </c>
      <c r="I551" s="27">
        <v>-7700</v>
      </c>
      <c r="J551" s="7" t="s">
        <v>227</v>
      </c>
    </row>
    <row r="552" spans="1:10" hidden="1" x14ac:dyDescent="0.25">
      <c r="A552" s="7" t="s">
        <v>216</v>
      </c>
      <c r="B552" s="7" t="s">
        <v>217</v>
      </c>
      <c r="C552" s="7" t="s">
        <v>213</v>
      </c>
      <c r="D552" s="7">
        <v>490</v>
      </c>
      <c r="E552" s="27">
        <v>3</v>
      </c>
      <c r="F552" s="27">
        <v>15</v>
      </c>
      <c r="G552" s="27">
        <v>7350</v>
      </c>
      <c r="H552" s="27">
        <v>6762</v>
      </c>
      <c r="I552" s="27">
        <v>1862</v>
      </c>
      <c r="J552" s="7" t="s">
        <v>242</v>
      </c>
    </row>
    <row r="553" spans="1:10" hidden="1" x14ac:dyDescent="0.25">
      <c r="A553" s="7" t="s">
        <v>211</v>
      </c>
      <c r="B553" s="7" t="s">
        <v>219</v>
      </c>
      <c r="C553" s="7" t="s">
        <v>213</v>
      </c>
      <c r="D553" s="7">
        <v>1362</v>
      </c>
      <c r="E553" s="27">
        <v>3</v>
      </c>
      <c r="F553" s="27">
        <v>350</v>
      </c>
      <c r="G553" s="27">
        <v>476700</v>
      </c>
      <c r="H553" s="27">
        <v>438564</v>
      </c>
      <c r="I553" s="27">
        <v>84444</v>
      </c>
      <c r="J553" s="7" t="s">
        <v>220</v>
      </c>
    </row>
    <row r="554" spans="1:10" hidden="1" x14ac:dyDescent="0.25">
      <c r="A554" s="7" t="s">
        <v>216</v>
      </c>
      <c r="B554" s="7" t="s">
        <v>217</v>
      </c>
      <c r="C554" s="7" t="s">
        <v>221</v>
      </c>
      <c r="D554" s="7">
        <v>2501</v>
      </c>
      <c r="E554" s="27">
        <v>5</v>
      </c>
      <c r="F554" s="27">
        <v>15</v>
      </c>
      <c r="G554" s="27">
        <v>37515</v>
      </c>
      <c r="H554" s="27">
        <v>34513.800000000003</v>
      </c>
      <c r="I554" s="27">
        <v>9503.8000000000029</v>
      </c>
      <c r="J554" s="7" t="s">
        <v>222</v>
      </c>
    </row>
    <row r="555" spans="1:10" hidden="1" x14ac:dyDescent="0.25">
      <c r="A555" s="7" t="s">
        <v>211</v>
      </c>
      <c r="B555" s="7" t="s">
        <v>212</v>
      </c>
      <c r="C555" s="7" t="s">
        <v>221</v>
      </c>
      <c r="D555" s="7">
        <v>708</v>
      </c>
      <c r="E555" s="27">
        <v>5</v>
      </c>
      <c r="F555" s="27">
        <v>20</v>
      </c>
      <c r="G555" s="27">
        <v>14160</v>
      </c>
      <c r="H555" s="27">
        <v>13027.2</v>
      </c>
      <c r="I555" s="27">
        <v>5947.2000000000007</v>
      </c>
      <c r="J555" s="7" t="s">
        <v>218</v>
      </c>
    </row>
    <row r="556" spans="1:10" hidden="1" x14ac:dyDescent="0.25">
      <c r="A556" s="7" t="s">
        <v>211</v>
      </c>
      <c r="B556" s="7" t="s">
        <v>215</v>
      </c>
      <c r="C556" s="7" t="s">
        <v>221</v>
      </c>
      <c r="D556" s="7">
        <v>645</v>
      </c>
      <c r="E556" s="27">
        <v>5</v>
      </c>
      <c r="F556" s="27">
        <v>20</v>
      </c>
      <c r="G556" s="27">
        <v>12900</v>
      </c>
      <c r="H556" s="27">
        <v>11868</v>
      </c>
      <c r="I556" s="27">
        <v>5418</v>
      </c>
      <c r="J556" s="7" t="s">
        <v>225</v>
      </c>
    </row>
    <row r="557" spans="1:10" hidden="1" x14ac:dyDescent="0.25">
      <c r="A557" s="7" t="s">
        <v>226</v>
      </c>
      <c r="B557" s="7" t="s">
        <v>217</v>
      </c>
      <c r="C557" s="7" t="s">
        <v>221</v>
      </c>
      <c r="D557" s="7">
        <v>1562</v>
      </c>
      <c r="E557" s="27">
        <v>5</v>
      </c>
      <c r="F557" s="27">
        <v>300</v>
      </c>
      <c r="G557" s="27">
        <v>468600</v>
      </c>
      <c r="H557" s="27">
        <v>431112</v>
      </c>
      <c r="I557" s="27">
        <v>40612</v>
      </c>
      <c r="J557" s="7" t="s">
        <v>227</v>
      </c>
    </row>
    <row r="558" spans="1:10" hidden="1" x14ac:dyDescent="0.25">
      <c r="A558" s="7" t="s">
        <v>226</v>
      </c>
      <c r="B558" s="7" t="s">
        <v>212</v>
      </c>
      <c r="C558" s="7" t="s">
        <v>221</v>
      </c>
      <c r="D558" s="7">
        <v>1283</v>
      </c>
      <c r="E558" s="27">
        <v>5</v>
      </c>
      <c r="F558" s="27">
        <v>300</v>
      </c>
      <c r="G558" s="27">
        <v>384900</v>
      </c>
      <c r="H558" s="27">
        <v>354108</v>
      </c>
      <c r="I558" s="27">
        <v>33358</v>
      </c>
      <c r="J558" s="7" t="s">
        <v>233</v>
      </c>
    </row>
    <row r="559" spans="1:10" hidden="1" x14ac:dyDescent="0.25">
      <c r="A559" s="7" t="s">
        <v>216</v>
      </c>
      <c r="B559" s="7" t="s">
        <v>215</v>
      </c>
      <c r="C559" s="7" t="s">
        <v>221</v>
      </c>
      <c r="D559" s="7">
        <v>711</v>
      </c>
      <c r="E559" s="27">
        <v>5</v>
      </c>
      <c r="F559" s="27">
        <v>15</v>
      </c>
      <c r="G559" s="27">
        <v>10665</v>
      </c>
      <c r="H559" s="27">
        <v>9811.7999999999993</v>
      </c>
      <c r="I559" s="27">
        <v>2701.7999999999993</v>
      </c>
      <c r="J559" s="7" t="s">
        <v>220</v>
      </c>
    </row>
    <row r="560" spans="1:10" hidden="1" x14ac:dyDescent="0.25">
      <c r="A560" s="7" t="s">
        <v>224</v>
      </c>
      <c r="B560" s="7" t="s">
        <v>219</v>
      </c>
      <c r="C560" s="7" t="s">
        <v>231</v>
      </c>
      <c r="D560" s="7">
        <v>1114</v>
      </c>
      <c r="E560" s="27">
        <v>10</v>
      </c>
      <c r="F560" s="27">
        <v>125</v>
      </c>
      <c r="G560" s="27">
        <v>139250</v>
      </c>
      <c r="H560" s="27">
        <v>128110</v>
      </c>
      <c r="I560" s="27">
        <v>-5570</v>
      </c>
      <c r="J560" s="7" t="s">
        <v>222</v>
      </c>
    </row>
    <row r="561" spans="1:10" hidden="1" x14ac:dyDescent="0.25">
      <c r="A561" s="7" t="s">
        <v>211</v>
      </c>
      <c r="B561" s="7" t="s">
        <v>215</v>
      </c>
      <c r="C561" s="7" t="s">
        <v>231</v>
      </c>
      <c r="D561" s="7">
        <v>1259</v>
      </c>
      <c r="E561" s="27">
        <v>10</v>
      </c>
      <c r="F561" s="27">
        <v>7</v>
      </c>
      <c r="G561" s="27">
        <v>8813</v>
      </c>
      <c r="H561" s="27">
        <v>8107.96</v>
      </c>
      <c r="I561" s="27">
        <v>1812.96</v>
      </c>
      <c r="J561" s="7" t="s">
        <v>239</v>
      </c>
    </row>
    <row r="562" spans="1:10" hidden="1" x14ac:dyDescent="0.25">
      <c r="A562" s="7" t="s">
        <v>211</v>
      </c>
      <c r="B562" s="7" t="s">
        <v>215</v>
      </c>
      <c r="C562" s="7" t="s">
        <v>231</v>
      </c>
      <c r="D562" s="7">
        <v>1095</v>
      </c>
      <c r="E562" s="27">
        <v>10</v>
      </c>
      <c r="F562" s="27">
        <v>7</v>
      </c>
      <c r="G562" s="27">
        <v>7665</v>
      </c>
      <c r="H562" s="27">
        <v>7051.8</v>
      </c>
      <c r="I562" s="27">
        <v>1576.8000000000002</v>
      </c>
      <c r="J562" s="7" t="s">
        <v>241</v>
      </c>
    </row>
    <row r="563" spans="1:10" hidden="1" x14ac:dyDescent="0.25">
      <c r="A563" s="7" t="s">
        <v>211</v>
      </c>
      <c r="B563" s="7" t="s">
        <v>215</v>
      </c>
      <c r="C563" s="7" t="s">
        <v>231</v>
      </c>
      <c r="D563" s="7">
        <v>1366</v>
      </c>
      <c r="E563" s="27">
        <v>10</v>
      </c>
      <c r="F563" s="27">
        <v>20</v>
      </c>
      <c r="G563" s="27">
        <v>27320</v>
      </c>
      <c r="H563" s="27">
        <v>25134.400000000001</v>
      </c>
      <c r="I563" s="27">
        <v>11474.400000000001</v>
      </c>
      <c r="J563" s="7" t="s">
        <v>218</v>
      </c>
    </row>
    <row r="564" spans="1:10" hidden="1" x14ac:dyDescent="0.25">
      <c r="A564" s="7" t="s">
        <v>226</v>
      </c>
      <c r="B564" s="7" t="s">
        <v>219</v>
      </c>
      <c r="C564" s="7" t="s">
        <v>231</v>
      </c>
      <c r="D564" s="7">
        <v>2460</v>
      </c>
      <c r="E564" s="27">
        <v>10</v>
      </c>
      <c r="F564" s="27">
        <v>300</v>
      </c>
      <c r="G564" s="27">
        <v>738000</v>
      </c>
      <c r="H564" s="27">
        <v>678960</v>
      </c>
      <c r="I564" s="27">
        <v>63960</v>
      </c>
      <c r="J564" s="7" t="s">
        <v>218</v>
      </c>
    </row>
    <row r="565" spans="1:10" x14ac:dyDescent="0.25">
      <c r="A565" s="7" t="s">
        <v>211</v>
      </c>
      <c r="B565" s="7" t="s">
        <v>230</v>
      </c>
      <c r="C565" s="7" t="s">
        <v>231</v>
      </c>
      <c r="D565" s="7">
        <v>678</v>
      </c>
      <c r="E565" s="27">
        <v>10</v>
      </c>
      <c r="F565" s="27">
        <v>7</v>
      </c>
      <c r="G565" s="27">
        <v>4746</v>
      </c>
      <c r="H565" s="27">
        <v>4366.32</v>
      </c>
      <c r="I565" s="27">
        <v>976.31999999999971</v>
      </c>
      <c r="J565" s="7" t="s">
        <v>227</v>
      </c>
    </row>
    <row r="566" spans="1:10" hidden="1" x14ac:dyDescent="0.25">
      <c r="A566" s="7" t="s">
        <v>211</v>
      </c>
      <c r="B566" s="7" t="s">
        <v>215</v>
      </c>
      <c r="C566" s="7" t="s">
        <v>231</v>
      </c>
      <c r="D566" s="7">
        <v>1598</v>
      </c>
      <c r="E566" s="27">
        <v>10</v>
      </c>
      <c r="F566" s="27">
        <v>7</v>
      </c>
      <c r="G566" s="27">
        <v>11186</v>
      </c>
      <c r="H566" s="27">
        <v>10291.120000000001</v>
      </c>
      <c r="I566" s="27">
        <v>2301.1200000000008</v>
      </c>
      <c r="J566" s="7" t="s">
        <v>227</v>
      </c>
    </row>
    <row r="567" spans="1:10" hidden="1" x14ac:dyDescent="0.25">
      <c r="A567" s="7" t="s">
        <v>211</v>
      </c>
      <c r="B567" s="7" t="s">
        <v>215</v>
      </c>
      <c r="C567" s="7" t="s">
        <v>231</v>
      </c>
      <c r="D567" s="7">
        <v>2409</v>
      </c>
      <c r="E567" s="27">
        <v>10</v>
      </c>
      <c r="F567" s="27">
        <v>7</v>
      </c>
      <c r="G567" s="27">
        <v>16863</v>
      </c>
      <c r="H567" s="27">
        <v>15513.96</v>
      </c>
      <c r="I567" s="27">
        <v>3468.9599999999991</v>
      </c>
      <c r="J567" s="7" t="s">
        <v>233</v>
      </c>
    </row>
    <row r="568" spans="1:10" hidden="1" x14ac:dyDescent="0.25">
      <c r="A568" s="7" t="s">
        <v>211</v>
      </c>
      <c r="B568" s="7" t="s">
        <v>215</v>
      </c>
      <c r="C568" s="7" t="s">
        <v>231</v>
      </c>
      <c r="D568" s="7">
        <v>1934</v>
      </c>
      <c r="E568" s="27">
        <v>10</v>
      </c>
      <c r="F568" s="27">
        <v>20</v>
      </c>
      <c r="G568" s="27">
        <v>38680</v>
      </c>
      <c r="H568" s="27">
        <v>35585.599999999999</v>
      </c>
      <c r="I568" s="27">
        <v>16245.599999999999</v>
      </c>
      <c r="J568" s="7" t="s">
        <v>228</v>
      </c>
    </row>
    <row r="569" spans="1:10" hidden="1" x14ac:dyDescent="0.25">
      <c r="A569" s="7" t="s">
        <v>211</v>
      </c>
      <c r="B569" s="7" t="s">
        <v>219</v>
      </c>
      <c r="C569" s="7" t="s">
        <v>231</v>
      </c>
      <c r="D569" s="7">
        <v>2993</v>
      </c>
      <c r="E569" s="27">
        <v>10</v>
      </c>
      <c r="F569" s="27">
        <v>20</v>
      </c>
      <c r="G569" s="27">
        <v>59860</v>
      </c>
      <c r="H569" s="27">
        <v>55071.199999999997</v>
      </c>
      <c r="I569" s="27">
        <v>25141.199999999997</v>
      </c>
      <c r="J569" s="7" t="s">
        <v>228</v>
      </c>
    </row>
    <row r="570" spans="1:10" hidden="1" x14ac:dyDescent="0.25">
      <c r="A570" s="7" t="s">
        <v>211</v>
      </c>
      <c r="B570" s="7" t="s">
        <v>215</v>
      </c>
      <c r="C570" s="7" t="s">
        <v>231</v>
      </c>
      <c r="D570" s="7">
        <v>2146</v>
      </c>
      <c r="E570" s="27">
        <v>10</v>
      </c>
      <c r="F570" s="27">
        <v>350</v>
      </c>
      <c r="G570" s="27">
        <v>751100</v>
      </c>
      <c r="H570" s="27">
        <v>691012</v>
      </c>
      <c r="I570" s="27">
        <v>133052</v>
      </c>
      <c r="J570" s="7" t="s">
        <v>235</v>
      </c>
    </row>
    <row r="571" spans="1:10" hidden="1" x14ac:dyDescent="0.25">
      <c r="A571" s="7" t="s">
        <v>211</v>
      </c>
      <c r="B571" s="7" t="s">
        <v>219</v>
      </c>
      <c r="C571" s="7" t="s">
        <v>231</v>
      </c>
      <c r="D571" s="7">
        <v>1946</v>
      </c>
      <c r="E571" s="27">
        <v>10</v>
      </c>
      <c r="F571" s="27">
        <v>7</v>
      </c>
      <c r="G571" s="27">
        <v>13622</v>
      </c>
      <c r="H571" s="27">
        <v>12532.24</v>
      </c>
      <c r="I571" s="27">
        <v>2802.24</v>
      </c>
      <c r="J571" s="7" t="s">
        <v>236</v>
      </c>
    </row>
    <row r="572" spans="1:10" hidden="1" x14ac:dyDescent="0.25">
      <c r="A572" s="7" t="s">
        <v>211</v>
      </c>
      <c r="B572" s="7" t="s">
        <v>219</v>
      </c>
      <c r="C572" s="7" t="s">
        <v>231</v>
      </c>
      <c r="D572" s="7">
        <v>1362</v>
      </c>
      <c r="E572" s="27">
        <v>10</v>
      </c>
      <c r="F572" s="27">
        <v>350</v>
      </c>
      <c r="G572" s="27">
        <v>476700</v>
      </c>
      <c r="H572" s="27">
        <v>438564</v>
      </c>
      <c r="I572" s="27">
        <v>84444</v>
      </c>
      <c r="J572" s="7" t="s">
        <v>220</v>
      </c>
    </row>
    <row r="573" spans="1:10" hidden="1" x14ac:dyDescent="0.25">
      <c r="A573" s="7" t="s">
        <v>223</v>
      </c>
      <c r="B573" s="7" t="s">
        <v>212</v>
      </c>
      <c r="C573" s="7" t="s">
        <v>237</v>
      </c>
      <c r="D573" s="7">
        <v>598</v>
      </c>
      <c r="E573" s="27">
        <v>120</v>
      </c>
      <c r="F573" s="27">
        <v>12</v>
      </c>
      <c r="G573" s="27">
        <v>7176</v>
      </c>
      <c r="H573" s="27">
        <v>6601.92</v>
      </c>
      <c r="I573" s="27">
        <v>4807.92</v>
      </c>
      <c r="J573" s="7" t="s">
        <v>222</v>
      </c>
    </row>
    <row r="574" spans="1:10" x14ac:dyDescent="0.25">
      <c r="A574" s="7" t="s">
        <v>211</v>
      </c>
      <c r="B574" s="7" t="s">
        <v>230</v>
      </c>
      <c r="C574" s="7" t="s">
        <v>237</v>
      </c>
      <c r="D574" s="7">
        <v>2907</v>
      </c>
      <c r="E574" s="27">
        <v>120</v>
      </c>
      <c r="F574" s="27">
        <v>7</v>
      </c>
      <c r="G574" s="27">
        <v>20349</v>
      </c>
      <c r="H574" s="27">
        <v>18721.080000000002</v>
      </c>
      <c r="I574" s="27">
        <v>4186.0800000000017</v>
      </c>
      <c r="J574" s="7" t="s">
        <v>218</v>
      </c>
    </row>
    <row r="575" spans="1:10" hidden="1" x14ac:dyDescent="0.25">
      <c r="A575" s="7" t="s">
        <v>211</v>
      </c>
      <c r="B575" s="7" t="s">
        <v>215</v>
      </c>
      <c r="C575" s="7" t="s">
        <v>237</v>
      </c>
      <c r="D575" s="7">
        <v>2338</v>
      </c>
      <c r="E575" s="27">
        <v>120</v>
      </c>
      <c r="F575" s="27">
        <v>7</v>
      </c>
      <c r="G575" s="27">
        <v>16366</v>
      </c>
      <c r="H575" s="27">
        <v>15056.72</v>
      </c>
      <c r="I575" s="27">
        <v>3366.7199999999993</v>
      </c>
      <c r="J575" s="7" t="s">
        <v>218</v>
      </c>
    </row>
    <row r="576" spans="1:10" hidden="1" x14ac:dyDescent="0.25">
      <c r="A576" s="7" t="s">
        <v>226</v>
      </c>
      <c r="B576" s="7" t="s">
        <v>217</v>
      </c>
      <c r="C576" s="7" t="s">
        <v>237</v>
      </c>
      <c r="D576" s="7">
        <v>386</v>
      </c>
      <c r="E576" s="27">
        <v>120</v>
      </c>
      <c r="F576" s="27">
        <v>300</v>
      </c>
      <c r="G576" s="27">
        <v>115800</v>
      </c>
      <c r="H576" s="27">
        <v>106536</v>
      </c>
      <c r="I576" s="27">
        <v>10036</v>
      </c>
      <c r="J576" s="7" t="s">
        <v>235</v>
      </c>
    </row>
    <row r="577" spans="1:10" hidden="1" x14ac:dyDescent="0.25">
      <c r="A577" s="7" t="s">
        <v>226</v>
      </c>
      <c r="B577" s="7" t="s">
        <v>219</v>
      </c>
      <c r="C577" s="7" t="s">
        <v>237</v>
      </c>
      <c r="D577" s="7">
        <v>635</v>
      </c>
      <c r="E577" s="27">
        <v>120</v>
      </c>
      <c r="F577" s="27">
        <v>300</v>
      </c>
      <c r="G577" s="27">
        <v>190500</v>
      </c>
      <c r="H577" s="27">
        <v>175260</v>
      </c>
      <c r="I577" s="27">
        <v>16510</v>
      </c>
      <c r="J577" s="7" t="s">
        <v>220</v>
      </c>
    </row>
    <row r="578" spans="1:10" hidden="1" x14ac:dyDescent="0.25">
      <c r="A578" s="7" t="s">
        <v>211</v>
      </c>
      <c r="B578" s="7" t="s">
        <v>217</v>
      </c>
      <c r="C578" s="7" t="s">
        <v>238</v>
      </c>
      <c r="D578" s="7">
        <v>574.5</v>
      </c>
      <c r="E578" s="27">
        <v>250</v>
      </c>
      <c r="F578" s="27">
        <v>350</v>
      </c>
      <c r="G578" s="27">
        <v>201075</v>
      </c>
      <c r="H578" s="27">
        <v>184989</v>
      </c>
      <c r="I578" s="27">
        <v>35619</v>
      </c>
      <c r="J578" s="7" t="s">
        <v>239</v>
      </c>
    </row>
    <row r="579" spans="1:10" hidden="1" x14ac:dyDescent="0.25">
      <c r="A579" s="7" t="s">
        <v>211</v>
      </c>
      <c r="B579" s="7" t="s">
        <v>215</v>
      </c>
      <c r="C579" s="7" t="s">
        <v>238</v>
      </c>
      <c r="D579" s="7">
        <v>2338</v>
      </c>
      <c r="E579" s="27">
        <v>250</v>
      </c>
      <c r="F579" s="27">
        <v>7</v>
      </c>
      <c r="G579" s="27">
        <v>16366</v>
      </c>
      <c r="H579" s="27">
        <v>15056.72</v>
      </c>
      <c r="I579" s="27">
        <v>3366.7199999999993</v>
      </c>
      <c r="J579" s="7" t="s">
        <v>218</v>
      </c>
    </row>
    <row r="580" spans="1:10" hidden="1" x14ac:dyDescent="0.25">
      <c r="A580" s="7" t="s">
        <v>211</v>
      </c>
      <c r="B580" s="7" t="s">
        <v>217</v>
      </c>
      <c r="C580" s="7" t="s">
        <v>238</v>
      </c>
      <c r="D580" s="7">
        <v>381</v>
      </c>
      <c r="E580" s="27">
        <v>250</v>
      </c>
      <c r="F580" s="27">
        <v>350</v>
      </c>
      <c r="G580" s="27">
        <v>133350</v>
      </c>
      <c r="H580" s="27">
        <v>122682</v>
      </c>
      <c r="I580" s="27">
        <v>23622</v>
      </c>
      <c r="J580" s="7" t="s">
        <v>227</v>
      </c>
    </row>
    <row r="581" spans="1:10" hidden="1" x14ac:dyDescent="0.25">
      <c r="A581" s="7" t="s">
        <v>211</v>
      </c>
      <c r="B581" s="7" t="s">
        <v>215</v>
      </c>
      <c r="C581" s="7" t="s">
        <v>238</v>
      </c>
      <c r="D581" s="7">
        <v>422</v>
      </c>
      <c r="E581" s="27">
        <v>250</v>
      </c>
      <c r="F581" s="27">
        <v>350</v>
      </c>
      <c r="G581" s="27">
        <v>147700</v>
      </c>
      <c r="H581" s="27">
        <v>135884</v>
      </c>
      <c r="I581" s="27">
        <v>26164</v>
      </c>
      <c r="J581" s="7" t="s">
        <v>227</v>
      </c>
    </row>
    <row r="582" spans="1:10" hidden="1" x14ac:dyDescent="0.25">
      <c r="A582" s="7" t="s">
        <v>226</v>
      </c>
      <c r="B582" s="7" t="s">
        <v>212</v>
      </c>
      <c r="C582" s="7" t="s">
        <v>238</v>
      </c>
      <c r="D582" s="7">
        <v>2134</v>
      </c>
      <c r="E582" s="27">
        <v>250</v>
      </c>
      <c r="F582" s="27">
        <v>300</v>
      </c>
      <c r="G582" s="27">
        <v>640200</v>
      </c>
      <c r="H582" s="27">
        <v>588984</v>
      </c>
      <c r="I582" s="27">
        <v>55484</v>
      </c>
      <c r="J582" s="7" t="s">
        <v>228</v>
      </c>
    </row>
    <row r="583" spans="1:10" x14ac:dyDescent="0.25">
      <c r="A583" s="7" t="s">
        <v>226</v>
      </c>
      <c r="B583" s="7" t="s">
        <v>230</v>
      </c>
      <c r="C583" s="7" t="s">
        <v>238</v>
      </c>
      <c r="D583" s="7">
        <v>808</v>
      </c>
      <c r="E583" s="27">
        <v>250</v>
      </c>
      <c r="F583" s="27">
        <v>300</v>
      </c>
      <c r="G583" s="27">
        <v>242400</v>
      </c>
      <c r="H583" s="27">
        <v>223008</v>
      </c>
      <c r="I583" s="27">
        <v>21008</v>
      </c>
      <c r="J583" s="7" t="s">
        <v>236</v>
      </c>
    </row>
    <row r="584" spans="1:10" hidden="1" x14ac:dyDescent="0.25">
      <c r="A584" s="7" t="s">
        <v>211</v>
      </c>
      <c r="B584" s="7" t="s">
        <v>212</v>
      </c>
      <c r="C584" s="7" t="s">
        <v>240</v>
      </c>
      <c r="D584" s="7">
        <v>708</v>
      </c>
      <c r="E584" s="27">
        <v>260</v>
      </c>
      <c r="F584" s="27">
        <v>20</v>
      </c>
      <c r="G584" s="27">
        <v>14160</v>
      </c>
      <c r="H584" s="27">
        <v>13027.2</v>
      </c>
      <c r="I584" s="27">
        <v>5947.2000000000007</v>
      </c>
      <c r="J584" s="7" t="s">
        <v>218</v>
      </c>
    </row>
    <row r="585" spans="1:10" x14ac:dyDescent="0.25">
      <c r="A585" s="7" t="s">
        <v>211</v>
      </c>
      <c r="B585" s="7" t="s">
        <v>230</v>
      </c>
      <c r="C585" s="7" t="s">
        <v>240</v>
      </c>
      <c r="D585" s="7">
        <v>2907</v>
      </c>
      <c r="E585" s="27">
        <v>260</v>
      </c>
      <c r="F585" s="27">
        <v>7</v>
      </c>
      <c r="G585" s="27">
        <v>20349</v>
      </c>
      <c r="H585" s="27">
        <v>18721.080000000002</v>
      </c>
      <c r="I585" s="27">
        <v>4186.0800000000017</v>
      </c>
      <c r="J585" s="7" t="s">
        <v>218</v>
      </c>
    </row>
    <row r="586" spans="1:10" hidden="1" x14ac:dyDescent="0.25">
      <c r="A586" s="7" t="s">
        <v>211</v>
      </c>
      <c r="B586" s="7" t="s">
        <v>215</v>
      </c>
      <c r="C586" s="7" t="s">
        <v>240</v>
      </c>
      <c r="D586" s="7">
        <v>1366</v>
      </c>
      <c r="E586" s="27">
        <v>260</v>
      </c>
      <c r="F586" s="27">
        <v>20</v>
      </c>
      <c r="G586" s="27">
        <v>27320</v>
      </c>
      <c r="H586" s="27">
        <v>25134.400000000001</v>
      </c>
      <c r="I586" s="27">
        <v>11474.400000000001</v>
      </c>
      <c r="J586" s="7" t="s">
        <v>218</v>
      </c>
    </row>
    <row r="587" spans="1:10" hidden="1" x14ac:dyDescent="0.25">
      <c r="A587" s="7" t="s">
        <v>226</v>
      </c>
      <c r="B587" s="7" t="s">
        <v>219</v>
      </c>
      <c r="C587" s="7" t="s">
        <v>240</v>
      </c>
      <c r="D587" s="7">
        <v>2460</v>
      </c>
      <c r="E587" s="27">
        <v>260</v>
      </c>
      <c r="F587" s="27">
        <v>300</v>
      </c>
      <c r="G587" s="27">
        <v>738000</v>
      </c>
      <c r="H587" s="27">
        <v>678960</v>
      </c>
      <c r="I587" s="27">
        <v>63960</v>
      </c>
      <c r="J587" s="7" t="s">
        <v>218</v>
      </c>
    </row>
    <row r="588" spans="1:10" hidden="1" x14ac:dyDescent="0.25">
      <c r="A588" s="7" t="s">
        <v>211</v>
      </c>
      <c r="B588" s="7" t="s">
        <v>215</v>
      </c>
      <c r="C588" s="7" t="s">
        <v>240</v>
      </c>
      <c r="D588" s="7">
        <v>1520</v>
      </c>
      <c r="E588" s="27">
        <v>260</v>
      </c>
      <c r="F588" s="27">
        <v>20</v>
      </c>
      <c r="G588" s="27">
        <v>30400</v>
      </c>
      <c r="H588" s="27">
        <v>27968</v>
      </c>
      <c r="I588" s="27">
        <v>12768</v>
      </c>
      <c r="J588" s="7" t="s">
        <v>242</v>
      </c>
    </row>
    <row r="589" spans="1:10" hidden="1" x14ac:dyDescent="0.25">
      <c r="A589" s="7" t="s">
        <v>216</v>
      </c>
      <c r="B589" s="7" t="s">
        <v>215</v>
      </c>
      <c r="C589" s="7" t="s">
        <v>240</v>
      </c>
      <c r="D589" s="7">
        <v>711</v>
      </c>
      <c r="E589" s="27">
        <v>260</v>
      </c>
      <c r="F589" s="27">
        <v>15</v>
      </c>
      <c r="G589" s="27">
        <v>10665</v>
      </c>
      <c r="H589" s="27">
        <v>9811.7999999999993</v>
      </c>
      <c r="I589" s="27">
        <v>2701.7999999999993</v>
      </c>
      <c r="J589" s="7" t="s">
        <v>220</v>
      </c>
    </row>
    <row r="590" spans="1:10" hidden="1" x14ac:dyDescent="0.25">
      <c r="A590" s="7" t="s">
        <v>223</v>
      </c>
      <c r="B590" s="7" t="s">
        <v>219</v>
      </c>
      <c r="C590" s="7" t="s">
        <v>240</v>
      </c>
      <c r="D590" s="7">
        <v>1375</v>
      </c>
      <c r="E590" s="27">
        <v>260</v>
      </c>
      <c r="F590" s="27">
        <v>12</v>
      </c>
      <c r="G590" s="27">
        <v>16500</v>
      </c>
      <c r="H590" s="27">
        <v>15180</v>
      </c>
      <c r="I590" s="27">
        <v>11055</v>
      </c>
      <c r="J590" s="7" t="s">
        <v>236</v>
      </c>
    </row>
    <row r="591" spans="1:10" hidden="1" x14ac:dyDescent="0.25">
      <c r="A591" s="7" t="s">
        <v>226</v>
      </c>
      <c r="B591" s="7" t="s">
        <v>219</v>
      </c>
      <c r="C591" s="7" t="s">
        <v>240</v>
      </c>
      <c r="D591" s="7">
        <v>635</v>
      </c>
      <c r="E591" s="27">
        <v>260</v>
      </c>
      <c r="F591" s="27">
        <v>300</v>
      </c>
      <c r="G591" s="27">
        <v>190500</v>
      </c>
      <c r="H591" s="27">
        <v>175260</v>
      </c>
      <c r="I591" s="27">
        <v>16510</v>
      </c>
      <c r="J591" s="7" t="s">
        <v>220</v>
      </c>
    </row>
    <row r="592" spans="1:10" x14ac:dyDescent="0.25">
      <c r="A592" s="7" t="s">
        <v>211</v>
      </c>
      <c r="B592" s="7" t="s">
        <v>230</v>
      </c>
      <c r="C592" s="7" t="s">
        <v>238</v>
      </c>
      <c r="D592" s="7">
        <v>436.5</v>
      </c>
      <c r="E592" s="27">
        <v>250</v>
      </c>
      <c r="F592" s="27">
        <v>20</v>
      </c>
      <c r="G592" s="27">
        <v>8730</v>
      </c>
      <c r="H592" s="27">
        <v>8031.5999999999995</v>
      </c>
      <c r="I592" s="27">
        <v>3666.5999999999995</v>
      </c>
      <c r="J592" s="7" t="s">
        <v>225</v>
      </c>
    </row>
    <row r="593" spans="1:10" hidden="1" x14ac:dyDescent="0.25">
      <c r="A593" s="7" t="s">
        <v>226</v>
      </c>
      <c r="B593" s="7" t="s">
        <v>212</v>
      </c>
      <c r="C593" s="7" t="s">
        <v>213</v>
      </c>
      <c r="D593" s="7">
        <v>1094</v>
      </c>
      <c r="E593" s="27">
        <v>3</v>
      </c>
      <c r="F593" s="27">
        <v>300</v>
      </c>
      <c r="G593" s="27">
        <v>328200</v>
      </c>
      <c r="H593" s="27">
        <v>298662</v>
      </c>
      <c r="I593" s="27">
        <v>25162</v>
      </c>
      <c r="J593" s="7" t="s">
        <v>218</v>
      </c>
    </row>
    <row r="594" spans="1:10" hidden="1" x14ac:dyDescent="0.25">
      <c r="A594" s="7" t="s">
        <v>223</v>
      </c>
      <c r="B594" s="7" t="s">
        <v>219</v>
      </c>
      <c r="C594" s="7" t="s">
        <v>213</v>
      </c>
      <c r="D594" s="7">
        <v>367</v>
      </c>
      <c r="E594" s="27">
        <v>3</v>
      </c>
      <c r="F594" s="27">
        <v>12</v>
      </c>
      <c r="G594" s="27">
        <v>4404</v>
      </c>
      <c r="H594" s="27">
        <v>4007.64</v>
      </c>
      <c r="I594" s="27">
        <v>2906.64</v>
      </c>
      <c r="J594" s="7" t="s">
        <v>229</v>
      </c>
    </row>
    <row r="595" spans="1:10" hidden="1" x14ac:dyDescent="0.25">
      <c r="A595" s="7" t="s">
        <v>226</v>
      </c>
      <c r="B595" s="7" t="s">
        <v>212</v>
      </c>
      <c r="C595" s="7" t="s">
        <v>221</v>
      </c>
      <c r="D595" s="7">
        <v>3802.5</v>
      </c>
      <c r="E595" s="27">
        <v>5</v>
      </c>
      <c r="F595" s="27">
        <v>300</v>
      </c>
      <c r="G595" s="27">
        <v>1140750</v>
      </c>
      <c r="H595" s="27">
        <v>1038082.5</v>
      </c>
      <c r="I595" s="27">
        <v>87457.5</v>
      </c>
      <c r="J595" s="7" t="s">
        <v>239</v>
      </c>
    </row>
    <row r="596" spans="1:10" hidden="1" x14ac:dyDescent="0.25">
      <c r="A596" s="7" t="s">
        <v>211</v>
      </c>
      <c r="B596" s="7" t="s">
        <v>217</v>
      </c>
      <c r="C596" s="7" t="s">
        <v>221</v>
      </c>
      <c r="D596" s="7">
        <v>1666</v>
      </c>
      <c r="E596" s="27">
        <v>5</v>
      </c>
      <c r="F596" s="27">
        <v>350</v>
      </c>
      <c r="G596" s="27">
        <v>583100</v>
      </c>
      <c r="H596" s="27">
        <v>530621</v>
      </c>
      <c r="I596" s="27">
        <v>97461</v>
      </c>
      <c r="J596" s="7" t="s">
        <v>241</v>
      </c>
    </row>
    <row r="597" spans="1:10" hidden="1" x14ac:dyDescent="0.25">
      <c r="A597" s="7" t="s">
        <v>226</v>
      </c>
      <c r="B597" s="7" t="s">
        <v>217</v>
      </c>
      <c r="C597" s="7" t="s">
        <v>221</v>
      </c>
      <c r="D597" s="7">
        <v>322</v>
      </c>
      <c r="E597" s="27">
        <v>5</v>
      </c>
      <c r="F597" s="27">
        <v>300</v>
      </c>
      <c r="G597" s="27">
        <v>96600</v>
      </c>
      <c r="H597" s="27">
        <v>87906</v>
      </c>
      <c r="I597" s="27">
        <v>7406</v>
      </c>
      <c r="J597" s="7" t="s">
        <v>233</v>
      </c>
    </row>
    <row r="598" spans="1:10" hidden="1" x14ac:dyDescent="0.25">
      <c r="A598" s="7" t="s">
        <v>223</v>
      </c>
      <c r="B598" s="7" t="s">
        <v>212</v>
      </c>
      <c r="C598" s="7" t="s">
        <v>221</v>
      </c>
      <c r="D598" s="7">
        <v>2321</v>
      </c>
      <c r="E598" s="27">
        <v>5</v>
      </c>
      <c r="F598" s="27">
        <v>12</v>
      </c>
      <c r="G598" s="27">
        <v>27852</v>
      </c>
      <c r="H598" s="27">
        <v>25345.32</v>
      </c>
      <c r="I598" s="27">
        <v>18382.32</v>
      </c>
      <c r="J598" s="7" t="s">
        <v>242</v>
      </c>
    </row>
    <row r="599" spans="1:10" hidden="1" x14ac:dyDescent="0.25">
      <c r="A599" s="7" t="s">
        <v>224</v>
      </c>
      <c r="B599" s="7" t="s">
        <v>217</v>
      </c>
      <c r="C599" s="7" t="s">
        <v>221</v>
      </c>
      <c r="D599" s="7">
        <v>1857</v>
      </c>
      <c r="E599" s="27">
        <v>5</v>
      </c>
      <c r="F599" s="27">
        <v>125</v>
      </c>
      <c r="G599" s="27">
        <v>232125</v>
      </c>
      <c r="H599" s="27">
        <v>211233.75</v>
      </c>
      <c r="I599" s="27">
        <v>-11606.25</v>
      </c>
      <c r="J599" s="7" t="s">
        <v>235</v>
      </c>
    </row>
    <row r="600" spans="1:10" hidden="1" x14ac:dyDescent="0.25">
      <c r="A600" s="7" t="s">
        <v>211</v>
      </c>
      <c r="B600" s="7" t="s">
        <v>212</v>
      </c>
      <c r="C600" s="7" t="s">
        <v>221</v>
      </c>
      <c r="D600" s="7">
        <v>1611</v>
      </c>
      <c r="E600" s="27">
        <v>5</v>
      </c>
      <c r="F600" s="27">
        <v>7</v>
      </c>
      <c r="G600" s="27">
        <v>11277</v>
      </c>
      <c r="H600" s="27">
        <v>10262.07</v>
      </c>
      <c r="I600" s="27">
        <v>2207.0699999999997</v>
      </c>
      <c r="J600" s="7" t="s">
        <v>236</v>
      </c>
    </row>
    <row r="601" spans="1:10" x14ac:dyDescent="0.25">
      <c r="A601" s="7" t="s">
        <v>224</v>
      </c>
      <c r="B601" s="7" t="s">
        <v>230</v>
      </c>
      <c r="C601" s="7" t="s">
        <v>221</v>
      </c>
      <c r="D601" s="7">
        <v>2797</v>
      </c>
      <c r="E601" s="27">
        <v>5</v>
      </c>
      <c r="F601" s="27">
        <v>125</v>
      </c>
      <c r="G601" s="27">
        <v>349625</v>
      </c>
      <c r="H601" s="27">
        <v>318158.75</v>
      </c>
      <c r="I601" s="27">
        <v>-17481.25</v>
      </c>
      <c r="J601" s="7" t="s">
        <v>220</v>
      </c>
    </row>
    <row r="602" spans="1:10" hidden="1" x14ac:dyDescent="0.25">
      <c r="A602" s="7" t="s">
        <v>226</v>
      </c>
      <c r="B602" s="7" t="s">
        <v>215</v>
      </c>
      <c r="C602" s="7" t="s">
        <v>221</v>
      </c>
      <c r="D602" s="7">
        <v>334</v>
      </c>
      <c r="E602" s="27">
        <v>5</v>
      </c>
      <c r="F602" s="27">
        <v>300</v>
      </c>
      <c r="G602" s="27">
        <v>100200</v>
      </c>
      <c r="H602" s="27">
        <v>91182</v>
      </c>
      <c r="I602" s="27">
        <v>7682</v>
      </c>
      <c r="J602" s="7" t="s">
        <v>236</v>
      </c>
    </row>
    <row r="603" spans="1:10" hidden="1" x14ac:dyDescent="0.25">
      <c r="A603" s="7" t="s">
        <v>226</v>
      </c>
      <c r="B603" s="7" t="s">
        <v>219</v>
      </c>
      <c r="C603" s="7" t="s">
        <v>231</v>
      </c>
      <c r="D603" s="7">
        <v>2565</v>
      </c>
      <c r="E603" s="27">
        <v>10</v>
      </c>
      <c r="F603" s="27">
        <v>300</v>
      </c>
      <c r="G603" s="27">
        <v>769500</v>
      </c>
      <c r="H603" s="27">
        <v>700245</v>
      </c>
      <c r="I603" s="27">
        <v>58995</v>
      </c>
      <c r="J603" s="7" t="s">
        <v>214</v>
      </c>
    </row>
    <row r="604" spans="1:10" hidden="1" x14ac:dyDescent="0.25">
      <c r="A604" s="7" t="s">
        <v>211</v>
      </c>
      <c r="B604" s="7" t="s">
        <v>219</v>
      </c>
      <c r="C604" s="7" t="s">
        <v>231</v>
      </c>
      <c r="D604" s="7">
        <v>2417</v>
      </c>
      <c r="E604" s="27">
        <v>10</v>
      </c>
      <c r="F604" s="27">
        <v>350</v>
      </c>
      <c r="G604" s="27">
        <v>845950</v>
      </c>
      <c r="H604" s="27">
        <v>769814.5</v>
      </c>
      <c r="I604" s="27">
        <v>141394.5</v>
      </c>
      <c r="J604" s="7" t="s">
        <v>214</v>
      </c>
    </row>
    <row r="605" spans="1:10" x14ac:dyDescent="0.25">
      <c r="A605" s="7" t="s">
        <v>216</v>
      </c>
      <c r="B605" s="7" t="s">
        <v>230</v>
      </c>
      <c r="C605" s="7" t="s">
        <v>231</v>
      </c>
      <c r="D605" s="7">
        <v>3675</v>
      </c>
      <c r="E605" s="27">
        <v>10</v>
      </c>
      <c r="F605" s="27">
        <v>15</v>
      </c>
      <c r="G605" s="27">
        <v>55125</v>
      </c>
      <c r="H605" s="27">
        <v>50163.75</v>
      </c>
      <c r="I605" s="27">
        <v>13413.75</v>
      </c>
      <c r="J605" s="7" t="s">
        <v>239</v>
      </c>
    </row>
    <row r="606" spans="1:10" hidden="1" x14ac:dyDescent="0.25">
      <c r="A606" s="7" t="s">
        <v>226</v>
      </c>
      <c r="B606" s="7" t="s">
        <v>212</v>
      </c>
      <c r="C606" s="7" t="s">
        <v>231</v>
      </c>
      <c r="D606" s="7">
        <v>1094</v>
      </c>
      <c r="E606" s="27">
        <v>10</v>
      </c>
      <c r="F606" s="27">
        <v>300</v>
      </c>
      <c r="G606" s="27">
        <v>328200</v>
      </c>
      <c r="H606" s="27">
        <v>298662</v>
      </c>
      <c r="I606" s="27">
        <v>25162</v>
      </c>
      <c r="J606" s="7" t="s">
        <v>218</v>
      </c>
    </row>
    <row r="607" spans="1:10" hidden="1" x14ac:dyDescent="0.25">
      <c r="A607" s="7" t="s">
        <v>216</v>
      </c>
      <c r="B607" s="7" t="s">
        <v>217</v>
      </c>
      <c r="C607" s="7" t="s">
        <v>231</v>
      </c>
      <c r="D607" s="7">
        <v>1227</v>
      </c>
      <c r="E607" s="27">
        <v>10</v>
      </c>
      <c r="F607" s="27">
        <v>15</v>
      </c>
      <c r="G607" s="27">
        <v>18405</v>
      </c>
      <c r="H607" s="27">
        <v>16748.55</v>
      </c>
      <c r="I607" s="27">
        <v>4478.5499999999993</v>
      </c>
      <c r="J607" s="7" t="s">
        <v>234</v>
      </c>
    </row>
    <row r="608" spans="1:10" hidden="1" x14ac:dyDescent="0.25">
      <c r="A608" s="7" t="s">
        <v>223</v>
      </c>
      <c r="B608" s="7" t="s">
        <v>219</v>
      </c>
      <c r="C608" s="7" t="s">
        <v>231</v>
      </c>
      <c r="D608" s="7">
        <v>367</v>
      </c>
      <c r="E608" s="27">
        <v>10</v>
      </c>
      <c r="F608" s="27">
        <v>12</v>
      </c>
      <c r="G608" s="27">
        <v>4404</v>
      </c>
      <c r="H608" s="27">
        <v>4007.64</v>
      </c>
      <c r="I608" s="27">
        <v>2906.64</v>
      </c>
      <c r="J608" s="7" t="s">
        <v>229</v>
      </c>
    </row>
    <row r="609" spans="1:10" hidden="1" x14ac:dyDescent="0.25">
      <c r="A609" s="7" t="s">
        <v>226</v>
      </c>
      <c r="B609" s="7" t="s">
        <v>217</v>
      </c>
      <c r="C609" s="7" t="s">
        <v>231</v>
      </c>
      <c r="D609" s="7">
        <v>1324</v>
      </c>
      <c r="E609" s="27">
        <v>10</v>
      </c>
      <c r="F609" s="27">
        <v>300</v>
      </c>
      <c r="G609" s="27">
        <v>397200</v>
      </c>
      <c r="H609" s="27">
        <v>361452</v>
      </c>
      <c r="I609" s="27">
        <v>30452</v>
      </c>
      <c r="J609" s="7" t="s">
        <v>242</v>
      </c>
    </row>
    <row r="610" spans="1:10" hidden="1" x14ac:dyDescent="0.25">
      <c r="A610" s="7" t="s">
        <v>223</v>
      </c>
      <c r="B610" s="7" t="s">
        <v>215</v>
      </c>
      <c r="C610" s="7" t="s">
        <v>231</v>
      </c>
      <c r="D610" s="7">
        <v>1775</v>
      </c>
      <c r="E610" s="27">
        <v>10</v>
      </c>
      <c r="F610" s="27">
        <v>12</v>
      </c>
      <c r="G610" s="27">
        <v>21300</v>
      </c>
      <c r="H610" s="27">
        <v>19383</v>
      </c>
      <c r="I610" s="27">
        <v>14058</v>
      </c>
      <c r="J610" s="7" t="s">
        <v>235</v>
      </c>
    </row>
    <row r="611" spans="1:10" x14ac:dyDescent="0.25">
      <c r="A611" s="7" t="s">
        <v>224</v>
      </c>
      <c r="B611" s="7" t="s">
        <v>230</v>
      </c>
      <c r="C611" s="7" t="s">
        <v>231</v>
      </c>
      <c r="D611" s="7">
        <v>2797</v>
      </c>
      <c r="E611" s="27">
        <v>10</v>
      </c>
      <c r="F611" s="27">
        <v>125</v>
      </c>
      <c r="G611" s="27">
        <v>349625</v>
      </c>
      <c r="H611" s="27">
        <v>318158.75</v>
      </c>
      <c r="I611" s="27">
        <v>-17481.25</v>
      </c>
      <c r="J611" s="7" t="s">
        <v>220</v>
      </c>
    </row>
    <row r="612" spans="1:10" hidden="1" x14ac:dyDescent="0.25">
      <c r="A612" s="7" t="s">
        <v>216</v>
      </c>
      <c r="B612" s="7" t="s">
        <v>219</v>
      </c>
      <c r="C612" s="7" t="s">
        <v>237</v>
      </c>
      <c r="D612" s="7">
        <v>245</v>
      </c>
      <c r="E612" s="27">
        <v>120</v>
      </c>
      <c r="F612" s="27">
        <v>15</v>
      </c>
      <c r="G612" s="27">
        <v>3675</v>
      </c>
      <c r="H612" s="27">
        <v>3344.25</v>
      </c>
      <c r="I612" s="27">
        <v>894.25</v>
      </c>
      <c r="J612" s="7" t="s">
        <v>241</v>
      </c>
    </row>
    <row r="613" spans="1:10" hidden="1" x14ac:dyDescent="0.25">
      <c r="A613" s="7" t="s">
        <v>226</v>
      </c>
      <c r="B613" s="7" t="s">
        <v>212</v>
      </c>
      <c r="C613" s="7" t="s">
        <v>237</v>
      </c>
      <c r="D613" s="7">
        <v>3793.5</v>
      </c>
      <c r="E613" s="27">
        <v>120</v>
      </c>
      <c r="F613" s="27">
        <v>300</v>
      </c>
      <c r="G613" s="27">
        <v>1138050</v>
      </c>
      <c r="H613" s="27">
        <v>1035625.5</v>
      </c>
      <c r="I613" s="27">
        <v>87250.5</v>
      </c>
      <c r="J613" s="7" t="s">
        <v>225</v>
      </c>
    </row>
    <row r="614" spans="1:10" hidden="1" x14ac:dyDescent="0.25">
      <c r="A614" s="7" t="s">
        <v>211</v>
      </c>
      <c r="B614" s="7" t="s">
        <v>215</v>
      </c>
      <c r="C614" s="7" t="s">
        <v>237</v>
      </c>
      <c r="D614" s="7">
        <v>1307</v>
      </c>
      <c r="E614" s="27">
        <v>120</v>
      </c>
      <c r="F614" s="27">
        <v>350</v>
      </c>
      <c r="G614" s="27">
        <v>457450</v>
      </c>
      <c r="H614" s="27">
        <v>416279.5</v>
      </c>
      <c r="I614" s="27">
        <v>76459.5</v>
      </c>
      <c r="J614" s="7" t="s">
        <v>225</v>
      </c>
    </row>
    <row r="615" spans="1:10" hidden="1" x14ac:dyDescent="0.25">
      <c r="A615" s="7" t="s">
        <v>224</v>
      </c>
      <c r="B615" s="7" t="s">
        <v>212</v>
      </c>
      <c r="C615" s="7" t="s">
        <v>237</v>
      </c>
      <c r="D615" s="7">
        <v>567</v>
      </c>
      <c r="E615" s="27">
        <v>120</v>
      </c>
      <c r="F615" s="27">
        <v>125</v>
      </c>
      <c r="G615" s="27">
        <v>70875</v>
      </c>
      <c r="H615" s="27">
        <v>64496.25</v>
      </c>
      <c r="I615" s="27">
        <v>-3543.75</v>
      </c>
      <c r="J615" s="7" t="s">
        <v>228</v>
      </c>
    </row>
    <row r="616" spans="1:10" hidden="1" x14ac:dyDescent="0.25">
      <c r="A616" s="7" t="s">
        <v>224</v>
      </c>
      <c r="B616" s="7" t="s">
        <v>219</v>
      </c>
      <c r="C616" s="7" t="s">
        <v>237</v>
      </c>
      <c r="D616" s="7">
        <v>2110</v>
      </c>
      <c r="E616" s="27">
        <v>120</v>
      </c>
      <c r="F616" s="27">
        <v>125</v>
      </c>
      <c r="G616" s="27">
        <v>263750</v>
      </c>
      <c r="H616" s="27">
        <v>240012.5</v>
      </c>
      <c r="I616" s="27">
        <v>-13187.5</v>
      </c>
      <c r="J616" s="7" t="s">
        <v>228</v>
      </c>
    </row>
    <row r="617" spans="1:10" hidden="1" x14ac:dyDescent="0.25">
      <c r="A617" s="7" t="s">
        <v>211</v>
      </c>
      <c r="B617" s="7" t="s">
        <v>212</v>
      </c>
      <c r="C617" s="7" t="s">
        <v>237</v>
      </c>
      <c r="D617" s="7">
        <v>1269</v>
      </c>
      <c r="E617" s="27">
        <v>120</v>
      </c>
      <c r="F617" s="27">
        <v>350</v>
      </c>
      <c r="G617" s="27">
        <v>444150</v>
      </c>
      <c r="H617" s="27">
        <v>404176.5</v>
      </c>
      <c r="I617" s="27">
        <v>74236.5</v>
      </c>
      <c r="J617" s="7" t="s">
        <v>234</v>
      </c>
    </row>
    <row r="618" spans="1:10" x14ac:dyDescent="0.25">
      <c r="A618" s="7" t="s">
        <v>223</v>
      </c>
      <c r="B618" s="7" t="s">
        <v>230</v>
      </c>
      <c r="C618" s="7" t="s">
        <v>238</v>
      </c>
      <c r="D618" s="7">
        <v>1956</v>
      </c>
      <c r="E618" s="27">
        <v>250</v>
      </c>
      <c r="F618" s="27">
        <v>12</v>
      </c>
      <c r="G618" s="27">
        <v>23472</v>
      </c>
      <c r="H618" s="27">
        <v>21359.52</v>
      </c>
      <c r="I618" s="27">
        <v>15491.52</v>
      </c>
      <c r="J618" s="7" t="s">
        <v>214</v>
      </c>
    </row>
    <row r="619" spans="1:10" hidden="1" x14ac:dyDescent="0.25">
      <c r="A619" s="7" t="s">
        <v>226</v>
      </c>
      <c r="B619" s="7" t="s">
        <v>215</v>
      </c>
      <c r="C619" s="7" t="s">
        <v>238</v>
      </c>
      <c r="D619" s="7">
        <v>2659</v>
      </c>
      <c r="E619" s="27">
        <v>250</v>
      </c>
      <c r="F619" s="27">
        <v>300</v>
      </c>
      <c r="G619" s="27">
        <v>797700</v>
      </c>
      <c r="H619" s="27">
        <v>725907</v>
      </c>
      <c r="I619" s="27">
        <v>61157</v>
      </c>
      <c r="J619" s="7" t="s">
        <v>232</v>
      </c>
    </row>
    <row r="620" spans="1:10" x14ac:dyDescent="0.25">
      <c r="A620" s="7" t="s">
        <v>211</v>
      </c>
      <c r="B620" s="7" t="s">
        <v>230</v>
      </c>
      <c r="C620" s="7" t="s">
        <v>238</v>
      </c>
      <c r="D620" s="7">
        <v>1351.5</v>
      </c>
      <c r="E620" s="27">
        <v>250</v>
      </c>
      <c r="F620" s="27">
        <v>350</v>
      </c>
      <c r="G620" s="27">
        <v>473025</v>
      </c>
      <c r="H620" s="27">
        <v>430452.75</v>
      </c>
      <c r="I620" s="27">
        <v>79062.75</v>
      </c>
      <c r="J620" s="7" t="s">
        <v>239</v>
      </c>
    </row>
    <row r="621" spans="1:10" hidden="1" x14ac:dyDescent="0.25">
      <c r="A621" s="7" t="s">
        <v>223</v>
      </c>
      <c r="B621" s="7" t="s">
        <v>215</v>
      </c>
      <c r="C621" s="7" t="s">
        <v>238</v>
      </c>
      <c r="D621" s="7">
        <v>880</v>
      </c>
      <c r="E621" s="27">
        <v>250</v>
      </c>
      <c r="F621" s="27">
        <v>12</v>
      </c>
      <c r="G621" s="27">
        <v>10560</v>
      </c>
      <c r="H621" s="27">
        <v>9609.6</v>
      </c>
      <c r="I621" s="27">
        <v>6969.6</v>
      </c>
      <c r="J621" s="7" t="s">
        <v>241</v>
      </c>
    </row>
    <row r="622" spans="1:10" x14ac:dyDescent="0.25">
      <c r="A622" s="7" t="s">
        <v>226</v>
      </c>
      <c r="B622" s="7" t="s">
        <v>230</v>
      </c>
      <c r="C622" s="7" t="s">
        <v>238</v>
      </c>
      <c r="D622" s="7">
        <v>1867</v>
      </c>
      <c r="E622" s="27">
        <v>250</v>
      </c>
      <c r="F622" s="27">
        <v>300</v>
      </c>
      <c r="G622" s="27">
        <v>560100</v>
      </c>
      <c r="H622" s="27">
        <v>509691</v>
      </c>
      <c r="I622" s="27">
        <v>42941</v>
      </c>
      <c r="J622" s="7" t="s">
        <v>228</v>
      </c>
    </row>
    <row r="623" spans="1:10" hidden="1" x14ac:dyDescent="0.25">
      <c r="A623" s="7" t="s">
        <v>223</v>
      </c>
      <c r="B623" s="7" t="s">
        <v>217</v>
      </c>
      <c r="C623" s="7" t="s">
        <v>238</v>
      </c>
      <c r="D623" s="7">
        <v>2234</v>
      </c>
      <c r="E623" s="27">
        <v>250</v>
      </c>
      <c r="F623" s="27">
        <v>12</v>
      </c>
      <c r="G623" s="27">
        <v>26808</v>
      </c>
      <c r="H623" s="27">
        <v>24395.279999999999</v>
      </c>
      <c r="I623" s="27">
        <v>17693.28</v>
      </c>
      <c r="J623" s="7" t="s">
        <v>233</v>
      </c>
    </row>
    <row r="624" spans="1:10" hidden="1" x14ac:dyDescent="0.25">
      <c r="A624" s="7" t="s">
        <v>216</v>
      </c>
      <c r="B624" s="7" t="s">
        <v>217</v>
      </c>
      <c r="C624" s="7" t="s">
        <v>238</v>
      </c>
      <c r="D624" s="7">
        <v>1227</v>
      </c>
      <c r="E624" s="27">
        <v>250</v>
      </c>
      <c r="F624" s="27">
        <v>15</v>
      </c>
      <c r="G624" s="27">
        <v>18405</v>
      </c>
      <c r="H624" s="27">
        <v>16748.55</v>
      </c>
      <c r="I624" s="27">
        <v>4478.5499999999993</v>
      </c>
      <c r="J624" s="7" t="s">
        <v>234</v>
      </c>
    </row>
    <row r="625" spans="1:10" hidden="1" x14ac:dyDescent="0.25">
      <c r="A625" s="7" t="s">
        <v>224</v>
      </c>
      <c r="B625" s="7" t="s">
        <v>219</v>
      </c>
      <c r="C625" s="7" t="s">
        <v>238</v>
      </c>
      <c r="D625" s="7">
        <v>877</v>
      </c>
      <c r="E625" s="27">
        <v>250</v>
      </c>
      <c r="F625" s="27">
        <v>125</v>
      </c>
      <c r="G625" s="27">
        <v>109625</v>
      </c>
      <c r="H625" s="27">
        <v>99758.75</v>
      </c>
      <c r="I625" s="27">
        <v>-5481.25</v>
      </c>
      <c r="J625" s="7" t="s">
        <v>242</v>
      </c>
    </row>
    <row r="626" spans="1:10" x14ac:dyDescent="0.25">
      <c r="A626" s="7" t="s">
        <v>211</v>
      </c>
      <c r="B626" s="7" t="s">
        <v>230</v>
      </c>
      <c r="C626" s="7" t="s">
        <v>240</v>
      </c>
      <c r="D626" s="7">
        <v>2071</v>
      </c>
      <c r="E626" s="27">
        <v>260</v>
      </c>
      <c r="F626" s="27">
        <v>350</v>
      </c>
      <c r="G626" s="27">
        <v>724850</v>
      </c>
      <c r="H626" s="27">
        <v>659613.5</v>
      </c>
      <c r="I626" s="27">
        <v>121153.5</v>
      </c>
      <c r="J626" s="7" t="s">
        <v>228</v>
      </c>
    </row>
    <row r="627" spans="1:10" hidden="1" x14ac:dyDescent="0.25">
      <c r="A627" s="7" t="s">
        <v>211</v>
      </c>
      <c r="B627" s="7" t="s">
        <v>212</v>
      </c>
      <c r="C627" s="7" t="s">
        <v>240</v>
      </c>
      <c r="D627" s="7">
        <v>1269</v>
      </c>
      <c r="E627" s="27">
        <v>260</v>
      </c>
      <c r="F627" s="27">
        <v>350</v>
      </c>
      <c r="G627" s="27">
        <v>444150</v>
      </c>
      <c r="H627" s="27">
        <v>404176.5</v>
      </c>
      <c r="I627" s="27">
        <v>74236.5</v>
      </c>
      <c r="J627" s="7" t="s">
        <v>234</v>
      </c>
    </row>
    <row r="628" spans="1:10" hidden="1" x14ac:dyDescent="0.25">
      <c r="A628" s="7" t="s">
        <v>216</v>
      </c>
      <c r="B628" s="7" t="s">
        <v>215</v>
      </c>
      <c r="C628" s="7" t="s">
        <v>240</v>
      </c>
      <c r="D628" s="7">
        <v>970</v>
      </c>
      <c r="E628" s="27">
        <v>260</v>
      </c>
      <c r="F628" s="27">
        <v>15</v>
      </c>
      <c r="G628" s="27">
        <v>14550</v>
      </c>
      <c r="H628" s="27">
        <v>13240.5</v>
      </c>
      <c r="I628" s="27">
        <v>3540.5</v>
      </c>
      <c r="J628" s="7" t="s">
        <v>235</v>
      </c>
    </row>
    <row r="629" spans="1:10" hidden="1" x14ac:dyDescent="0.25">
      <c r="A629" s="7" t="s">
        <v>211</v>
      </c>
      <c r="B629" s="7" t="s">
        <v>219</v>
      </c>
      <c r="C629" s="7" t="s">
        <v>240</v>
      </c>
      <c r="D629" s="7">
        <v>1694</v>
      </c>
      <c r="E629" s="27">
        <v>260</v>
      </c>
      <c r="F629" s="27">
        <v>20</v>
      </c>
      <c r="G629" s="27">
        <v>33880</v>
      </c>
      <c r="H629" s="27">
        <v>30830.799999999999</v>
      </c>
      <c r="I629" s="27">
        <v>13890.8</v>
      </c>
      <c r="J629" s="7" t="s">
        <v>242</v>
      </c>
    </row>
    <row r="630" spans="1:10" hidden="1" x14ac:dyDescent="0.25">
      <c r="A630" s="7" t="s">
        <v>211</v>
      </c>
      <c r="B630" s="7" t="s">
        <v>215</v>
      </c>
      <c r="C630" s="7" t="s">
        <v>213</v>
      </c>
      <c r="D630" s="7">
        <v>663</v>
      </c>
      <c r="E630" s="27">
        <v>3</v>
      </c>
      <c r="F630" s="27">
        <v>20</v>
      </c>
      <c r="G630" s="27">
        <v>13260</v>
      </c>
      <c r="H630" s="27">
        <v>12066.6</v>
      </c>
      <c r="I630" s="27">
        <v>5436.6</v>
      </c>
      <c r="J630" s="7" t="s">
        <v>241</v>
      </c>
    </row>
    <row r="631" spans="1:10" hidden="1" x14ac:dyDescent="0.25">
      <c r="A631" s="7" t="s">
        <v>211</v>
      </c>
      <c r="B631" s="7" t="s">
        <v>212</v>
      </c>
      <c r="C631" s="7" t="s">
        <v>213</v>
      </c>
      <c r="D631" s="7">
        <v>819</v>
      </c>
      <c r="E631" s="27">
        <v>3</v>
      </c>
      <c r="F631" s="27">
        <v>7</v>
      </c>
      <c r="G631" s="27">
        <v>5733</v>
      </c>
      <c r="H631" s="27">
        <v>5217.03</v>
      </c>
      <c r="I631" s="27">
        <v>1122.03</v>
      </c>
      <c r="J631" s="7" t="s">
        <v>225</v>
      </c>
    </row>
    <row r="632" spans="1:10" hidden="1" x14ac:dyDescent="0.25">
      <c r="A632" s="7" t="s">
        <v>223</v>
      </c>
      <c r="B632" s="7" t="s">
        <v>215</v>
      </c>
      <c r="C632" s="7" t="s">
        <v>213</v>
      </c>
      <c r="D632" s="7">
        <v>1580</v>
      </c>
      <c r="E632" s="27">
        <v>3</v>
      </c>
      <c r="F632" s="27">
        <v>12</v>
      </c>
      <c r="G632" s="27">
        <v>18960</v>
      </c>
      <c r="H632" s="27">
        <v>17253.599999999999</v>
      </c>
      <c r="I632" s="27">
        <v>12513.599999999999</v>
      </c>
      <c r="J632" s="7" t="s">
        <v>228</v>
      </c>
    </row>
    <row r="633" spans="1:10" hidden="1" x14ac:dyDescent="0.25">
      <c r="A633" s="7" t="s">
        <v>211</v>
      </c>
      <c r="B633" s="7" t="s">
        <v>219</v>
      </c>
      <c r="C633" s="7" t="s">
        <v>213</v>
      </c>
      <c r="D633" s="7">
        <v>521</v>
      </c>
      <c r="E633" s="27">
        <v>3</v>
      </c>
      <c r="F633" s="27">
        <v>7</v>
      </c>
      <c r="G633" s="27">
        <v>3647</v>
      </c>
      <c r="H633" s="27">
        <v>3318.77</v>
      </c>
      <c r="I633" s="27">
        <v>713.77</v>
      </c>
      <c r="J633" s="7" t="s">
        <v>220</v>
      </c>
    </row>
    <row r="634" spans="1:10" x14ac:dyDescent="0.25">
      <c r="A634" s="7" t="s">
        <v>211</v>
      </c>
      <c r="B634" s="7" t="s">
        <v>230</v>
      </c>
      <c r="C634" s="7" t="s">
        <v>231</v>
      </c>
      <c r="D634" s="7">
        <v>973</v>
      </c>
      <c r="E634" s="27">
        <v>10</v>
      </c>
      <c r="F634" s="27">
        <v>20</v>
      </c>
      <c r="G634" s="27">
        <v>19460</v>
      </c>
      <c r="H634" s="27">
        <v>17708.599999999999</v>
      </c>
      <c r="I634" s="27">
        <v>7978.5999999999985</v>
      </c>
      <c r="J634" s="7" t="s">
        <v>222</v>
      </c>
    </row>
    <row r="635" spans="1:10" hidden="1" x14ac:dyDescent="0.25">
      <c r="A635" s="7" t="s">
        <v>211</v>
      </c>
      <c r="B635" s="7" t="s">
        <v>219</v>
      </c>
      <c r="C635" s="7" t="s">
        <v>231</v>
      </c>
      <c r="D635" s="7">
        <v>1038</v>
      </c>
      <c r="E635" s="27">
        <v>10</v>
      </c>
      <c r="F635" s="27">
        <v>20</v>
      </c>
      <c r="G635" s="27">
        <v>20760</v>
      </c>
      <c r="H635" s="27">
        <v>18891.599999999999</v>
      </c>
      <c r="I635" s="27">
        <v>8511.5999999999985</v>
      </c>
      <c r="J635" s="7" t="s">
        <v>218</v>
      </c>
    </row>
    <row r="636" spans="1:10" hidden="1" x14ac:dyDescent="0.25">
      <c r="A636" s="7" t="s">
        <v>211</v>
      </c>
      <c r="B636" s="7" t="s">
        <v>215</v>
      </c>
      <c r="C636" s="7" t="s">
        <v>231</v>
      </c>
      <c r="D636" s="7">
        <v>360</v>
      </c>
      <c r="E636" s="27">
        <v>10</v>
      </c>
      <c r="F636" s="27">
        <v>7</v>
      </c>
      <c r="G636" s="27">
        <v>2520</v>
      </c>
      <c r="H636" s="27">
        <v>2293.1999999999998</v>
      </c>
      <c r="I636" s="27">
        <v>493.19999999999982</v>
      </c>
      <c r="J636" s="7" t="s">
        <v>234</v>
      </c>
    </row>
    <row r="637" spans="1:10" hidden="1" x14ac:dyDescent="0.25">
      <c r="A637" s="7" t="s">
        <v>223</v>
      </c>
      <c r="B637" s="7" t="s">
        <v>217</v>
      </c>
      <c r="C637" s="7" t="s">
        <v>237</v>
      </c>
      <c r="D637" s="7">
        <v>1967</v>
      </c>
      <c r="E637" s="27">
        <v>120</v>
      </c>
      <c r="F637" s="27">
        <v>12</v>
      </c>
      <c r="G637" s="27">
        <v>23604</v>
      </c>
      <c r="H637" s="27">
        <v>21479.64</v>
      </c>
      <c r="I637" s="27">
        <v>15578.64</v>
      </c>
      <c r="J637" s="7" t="s">
        <v>222</v>
      </c>
    </row>
    <row r="638" spans="1:10" hidden="1" x14ac:dyDescent="0.25">
      <c r="A638" s="7" t="s">
        <v>216</v>
      </c>
      <c r="B638" s="7" t="s">
        <v>219</v>
      </c>
      <c r="C638" s="7" t="s">
        <v>237</v>
      </c>
      <c r="D638" s="7">
        <v>2628</v>
      </c>
      <c r="E638" s="27">
        <v>120</v>
      </c>
      <c r="F638" s="27">
        <v>15</v>
      </c>
      <c r="G638" s="27">
        <v>39420</v>
      </c>
      <c r="H638" s="27">
        <v>35872.199999999997</v>
      </c>
      <c r="I638" s="27">
        <v>9592.1999999999971</v>
      </c>
      <c r="J638" s="7" t="s">
        <v>239</v>
      </c>
    </row>
    <row r="639" spans="1:10" hidden="1" x14ac:dyDescent="0.25">
      <c r="A639" s="7" t="s">
        <v>211</v>
      </c>
      <c r="B639" s="7" t="s">
        <v>215</v>
      </c>
      <c r="C639" s="7" t="s">
        <v>238</v>
      </c>
      <c r="D639" s="7">
        <v>360</v>
      </c>
      <c r="E639" s="27">
        <v>250</v>
      </c>
      <c r="F639" s="27">
        <v>7</v>
      </c>
      <c r="G639" s="27">
        <v>2520</v>
      </c>
      <c r="H639" s="27">
        <v>2293.1999999999998</v>
      </c>
      <c r="I639" s="27">
        <v>493.19999999999982</v>
      </c>
      <c r="J639" s="7" t="s">
        <v>234</v>
      </c>
    </row>
    <row r="640" spans="1:10" hidden="1" x14ac:dyDescent="0.25">
      <c r="A640" s="7" t="s">
        <v>211</v>
      </c>
      <c r="B640" s="7" t="s">
        <v>217</v>
      </c>
      <c r="C640" s="7" t="s">
        <v>238</v>
      </c>
      <c r="D640" s="7">
        <v>2682</v>
      </c>
      <c r="E640" s="27">
        <v>250</v>
      </c>
      <c r="F640" s="27">
        <v>20</v>
      </c>
      <c r="G640" s="27">
        <v>53640</v>
      </c>
      <c r="H640" s="27">
        <v>48812.4</v>
      </c>
      <c r="I640" s="27">
        <v>21992.400000000001</v>
      </c>
      <c r="J640" s="7" t="s">
        <v>235</v>
      </c>
    </row>
    <row r="641" spans="1:10" hidden="1" x14ac:dyDescent="0.25">
      <c r="A641" s="7" t="s">
        <v>211</v>
      </c>
      <c r="B641" s="7" t="s">
        <v>219</v>
      </c>
      <c r="C641" s="7" t="s">
        <v>238</v>
      </c>
      <c r="D641" s="7">
        <v>521</v>
      </c>
      <c r="E641" s="27">
        <v>250</v>
      </c>
      <c r="F641" s="27">
        <v>7</v>
      </c>
      <c r="G641" s="27">
        <v>3647</v>
      </c>
      <c r="H641" s="27">
        <v>3318.77</v>
      </c>
      <c r="I641" s="27">
        <v>713.77</v>
      </c>
      <c r="J641" s="7" t="s">
        <v>220</v>
      </c>
    </row>
    <row r="642" spans="1:10" hidden="1" x14ac:dyDescent="0.25">
      <c r="A642" s="7" t="s">
        <v>211</v>
      </c>
      <c r="B642" s="7" t="s">
        <v>219</v>
      </c>
      <c r="C642" s="7" t="s">
        <v>240</v>
      </c>
      <c r="D642" s="7">
        <v>1038</v>
      </c>
      <c r="E642" s="27">
        <v>260</v>
      </c>
      <c r="F642" s="27">
        <v>20</v>
      </c>
      <c r="G642" s="27">
        <v>20760</v>
      </c>
      <c r="H642" s="27">
        <v>18891.599999999999</v>
      </c>
      <c r="I642" s="27">
        <v>8511.5999999999985</v>
      </c>
      <c r="J642" s="7" t="s">
        <v>218</v>
      </c>
    </row>
    <row r="643" spans="1:10" hidden="1" x14ac:dyDescent="0.25">
      <c r="A643" s="7" t="s">
        <v>216</v>
      </c>
      <c r="B643" s="7" t="s">
        <v>212</v>
      </c>
      <c r="C643" s="7" t="s">
        <v>240</v>
      </c>
      <c r="D643" s="7">
        <v>1630.5</v>
      </c>
      <c r="E643" s="27">
        <v>260</v>
      </c>
      <c r="F643" s="27">
        <v>15</v>
      </c>
      <c r="G643" s="27">
        <v>24457.5</v>
      </c>
      <c r="H643" s="27">
        <v>22256.324999999997</v>
      </c>
      <c r="I643" s="27">
        <v>5951.3249999999989</v>
      </c>
      <c r="J643" s="7" t="s">
        <v>225</v>
      </c>
    </row>
    <row r="644" spans="1:10" hidden="1" x14ac:dyDescent="0.25">
      <c r="A644" s="7" t="s">
        <v>223</v>
      </c>
      <c r="B644" s="7" t="s">
        <v>217</v>
      </c>
      <c r="C644" s="7" t="s">
        <v>240</v>
      </c>
      <c r="D644" s="7">
        <v>306</v>
      </c>
      <c r="E644" s="27">
        <v>260</v>
      </c>
      <c r="F644" s="27">
        <v>12</v>
      </c>
      <c r="G644" s="27">
        <v>3672</v>
      </c>
      <c r="H644" s="27">
        <v>3341.52</v>
      </c>
      <c r="I644" s="27">
        <v>2423.52</v>
      </c>
      <c r="J644" s="7" t="s">
        <v>236</v>
      </c>
    </row>
    <row r="645" spans="1:10" x14ac:dyDescent="0.25">
      <c r="A645" s="7" t="s">
        <v>223</v>
      </c>
      <c r="B645" s="7" t="s">
        <v>230</v>
      </c>
      <c r="C645" s="7" t="s">
        <v>213</v>
      </c>
      <c r="D645" s="7">
        <v>386</v>
      </c>
      <c r="E645" s="27">
        <v>3</v>
      </c>
      <c r="F645" s="27">
        <v>12</v>
      </c>
      <c r="G645" s="27">
        <v>4632</v>
      </c>
      <c r="H645" s="27">
        <v>4168.8</v>
      </c>
      <c r="I645" s="27">
        <v>3010.8</v>
      </c>
      <c r="J645" s="7" t="s">
        <v>229</v>
      </c>
    </row>
    <row r="646" spans="1:10" x14ac:dyDescent="0.25">
      <c r="A646" s="7" t="s">
        <v>211</v>
      </c>
      <c r="B646" s="7" t="s">
        <v>230</v>
      </c>
      <c r="C646" s="7" t="s">
        <v>221</v>
      </c>
      <c r="D646" s="7">
        <v>2328</v>
      </c>
      <c r="E646" s="27">
        <v>5</v>
      </c>
      <c r="F646" s="27">
        <v>7</v>
      </c>
      <c r="G646" s="27">
        <v>16296</v>
      </c>
      <c r="H646" s="27">
        <v>14666.4</v>
      </c>
      <c r="I646" s="27">
        <v>3026.3999999999996</v>
      </c>
      <c r="J646" s="7" t="s">
        <v>228</v>
      </c>
    </row>
    <row r="647" spans="1:10" x14ac:dyDescent="0.25">
      <c r="A647" s="7" t="s">
        <v>223</v>
      </c>
      <c r="B647" s="7" t="s">
        <v>230</v>
      </c>
      <c r="C647" s="7" t="s">
        <v>231</v>
      </c>
      <c r="D647" s="7">
        <v>386</v>
      </c>
      <c r="E647" s="27">
        <v>10</v>
      </c>
      <c r="F647" s="27">
        <v>12</v>
      </c>
      <c r="G647" s="27">
        <v>4632</v>
      </c>
      <c r="H647" s="27">
        <v>4168.8</v>
      </c>
      <c r="I647" s="27">
        <v>3010.8</v>
      </c>
      <c r="J647" s="7" t="s">
        <v>229</v>
      </c>
    </row>
    <row r="648" spans="1:10" x14ac:dyDescent="0.25">
      <c r="A648" s="7" t="s">
        <v>224</v>
      </c>
      <c r="B648" s="7" t="s">
        <v>230</v>
      </c>
      <c r="C648" s="7" t="s">
        <v>213</v>
      </c>
      <c r="D648" s="7">
        <v>3445.5</v>
      </c>
      <c r="E648" s="27">
        <v>3</v>
      </c>
      <c r="F648" s="27">
        <v>125</v>
      </c>
      <c r="G648" s="27">
        <v>430687.5</v>
      </c>
      <c r="H648" s="27">
        <v>387618.75</v>
      </c>
      <c r="I648" s="27">
        <v>-25841.25</v>
      </c>
      <c r="J648" s="7" t="s">
        <v>239</v>
      </c>
    </row>
    <row r="649" spans="1:10" hidden="1" x14ac:dyDescent="0.25">
      <c r="A649" s="7" t="s">
        <v>224</v>
      </c>
      <c r="B649" s="7" t="s">
        <v>217</v>
      </c>
      <c r="C649" s="7" t="s">
        <v>213</v>
      </c>
      <c r="D649" s="7">
        <v>1482</v>
      </c>
      <c r="E649" s="27">
        <v>3</v>
      </c>
      <c r="F649" s="27">
        <v>125</v>
      </c>
      <c r="G649" s="27">
        <v>185250</v>
      </c>
      <c r="H649" s="27">
        <v>166725</v>
      </c>
      <c r="I649" s="27">
        <v>-11115</v>
      </c>
      <c r="J649" s="7" t="s">
        <v>236</v>
      </c>
    </row>
    <row r="650" spans="1:10" x14ac:dyDescent="0.25">
      <c r="A650" s="7" t="s">
        <v>211</v>
      </c>
      <c r="B650" s="7" t="s">
        <v>230</v>
      </c>
      <c r="C650" s="7" t="s">
        <v>221</v>
      </c>
      <c r="D650" s="7">
        <v>2313</v>
      </c>
      <c r="E650" s="27">
        <v>5</v>
      </c>
      <c r="F650" s="27">
        <v>350</v>
      </c>
      <c r="G650" s="27">
        <v>809550</v>
      </c>
      <c r="H650" s="27">
        <v>728595</v>
      </c>
      <c r="I650" s="27">
        <v>127215</v>
      </c>
      <c r="J650" s="7" t="s">
        <v>241</v>
      </c>
    </row>
    <row r="651" spans="1:10" x14ac:dyDescent="0.25">
      <c r="A651" s="7" t="s">
        <v>224</v>
      </c>
      <c r="B651" s="7" t="s">
        <v>230</v>
      </c>
      <c r="C651" s="7" t="s">
        <v>221</v>
      </c>
      <c r="D651" s="7">
        <v>1804</v>
      </c>
      <c r="E651" s="27">
        <v>5</v>
      </c>
      <c r="F651" s="27">
        <v>125</v>
      </c>
      <c r="G651" s="27">
        <v>225500</v>
      </c>
      <c r="H651" s="27">
        <v>202950</v>
      </c>
      <c r="I651" s="27">
        <v>-13530</v>
      </c>
      <c r="J651" s="7" t="s">
        <v>235</v>
      </c>
    </row>
    <row r="652" spans="1:10" hidden="1" x14ac:dyDescent="0.25">
      <c r="A652" s="7" t="s">
        <v>216</v>
      </c>
      <c r="B652" s="7" t="s">
        <v>217</v>
      </c>
      <c r="C652" s="7" t="s">
        <v>221</v>
      </c>
      <c r="D652" s="7">
        <v>2072</v>
      </c>
      <c r="E652" s="27">
        <v>5</v>
      </c>
      <c r="F652" s="27">
        <v>15</v>
      </c>
      <c r="G652" s="27">
        <v>31080</v>
      </c>
      <c r="H652" s="27">
        <v>27972</v>
      </c>
      <c r="I652" s="27">
        <v>7252</v>
      </c>
      <c r="J652" s="7" t="s">
        <v>220</v>
      </c>
    </row>
    <row r="653" spans="1:10" hidden="1" x14ac:dyDescent="0.25">
      <c r="A653" s="7" t="s">
        <v>211</v>
      </c>
      <c r="B653" s="7" t="s">
        <v>217</v>
      </c>
      <c r="C653" s="7" t="s">
        <v>231</v>
      </c>
      <c r="D653" s="7">
        <v>1954</v>
      </c>
      <c r="E653" s="27">
        <v>10</v>
      </c>
      <c r="F653" s="27">
        <v>20</v>
      </c>
      <c r="G653" s="27">
        <v>39080</v>
      </c>
      <c r="H653" s="27">
        <v>35172</v>
      </c>
      <c r="I653" s="27">
        <v>15632</v>
      </c>
      <c r="J653" s="7" t="s">
        <v>222</v>
      </c>
    </row>
    <row r="654" spans="1:10" hidden="1" x14ac:dyDescent="0.25">
      <c r="A654" s="7" t="s">
        <v>226</v>
      </c>
      <c r="B654" s="7" t="s">
        <v>219</v>
      </c>
      <c r="C654" s="7" t="s">
        <v>231</v>
      </c>
      <c r="D654" s="7">
        <v>591</v>
      </c>
      <c r="E654" s="27">
        <v>10</v>
      </c>
      <c r="F654" s="27">
        <v>300</v>
      </c>
      <c r="G654" s="27">
        <v>177300</v>
      </c>
      <c r="H654" s="27">
        <v>159570</v>
      </c>
      <c r="I654" s="27">
        <v>11820</v>
      </c>
      <c r="J654" s="7" t="s">
        <v>241</v>
      </c>
    </row>
    <row r="655" spans="1:10" hidden="1" x14ac:dyDescent="0.25">
      <c r="A655" s="7" t="s">
        <v>216</v>
      </c>
      <c r="B655" s="7" t="s">
        <v>217</v>
      </c>
      <c r="C655" s="7" t="s">
        <v>231</v>
      </c>
      <c r="D655" s="7">
        <v>2167</v>
      </c>
      <c r="E655" s="27">
        <v>10</v>
      </c>
      <c r="F655" s="27">
        <v>15</v>
      </c>
      <c r="G655" s="27">
        <v>32505</v>
      </c>
      <c r="H655" s="27">
        <v>29254.5</v>
      </c>
      <c r="I655" s="27">
        <v>7584.5</v>
      </c>
      <c r="J655" s="7" t="s">
        <v>229</v>
      </c>
    </row>
    <row r="656" spans="1:10" hidden="1" x14ac:dyDescent="0.25">
      <c r="A656" s="7" t="s">
        <v>211</v>
      </c>
      <c r="B656" s="7" t="s">
        <v>215</v>
      </c>
      <c r="C656" s="7" t="s">
        <v>231</v>
      </c>
      <c r="D656" s="7">
        <v>241</v>
      </c>
      <c r="E656" s="27">
        <v>10</v>
      </c>
      <c r="F656" s="27">
        <v>20</v>
      </c>
      <c r="G656" s="27">
        <v>4820</v>
      </c>
      <c r="H656" s="27">
        <v>4338</v>
      </c>
      <c r="I656" s="27">
        <v>1928</v>
      </c>
      <c r="J656" s="7" t="s">
        <v>234</v>
      </c>
    </row>
    <row r="657" spans="1:10" hidden="1" x14ac:dyDescent="0.25">
      <c r="A657" s="7" t="s">
        <v>216</v>
      </c>
      <c r="B657" s="7" t="s">
        <v>215</v>
      </c>
      <c r="C657" s="7" t="s">
        <v>237</v>
      </c>
      <c r="D657" s="7">
        <v>681</v>
      </c>
      <c r="E657" s="27">
        <v>120</v>
      </c>
      <c r="F657" s="27">
        <v>15</v>
      </c>
      <c r="G657" s="27">
        <v>10215</v>
      </c>
      <c r="H657" s="27">
        <v>9193.5</v>
      </c>
      <c r="I657" s="27">
        <v>2383.5</v>
      </c>
      <c r="J657" s="7" t="s">
        <v>214</v>
      </c>
    </row>
    <row r="658" spans="1:10" hidden="1" x14ac:dyDescent="0.25">
      <c r="A658" s="7" t="s">
        <v>216</v>
      </c>
      <c r="B658" s="7" t="s">
        <v>215</v>
      </c>
      <c r="C658" s="7" t="s">
        <v>237</v>
      </c>
      <c r="D658" s="7">
        <v>510</v>
      </c>
      <c r="E658" s="27">
        <v>120</v>
      </c>
      <c r="F658" s="27">
        <v>15</v>
      </c>
      <c r="G658" s="27">
        <v>7650</v>
      </c>
      <c r="H658" s="27">
        <v>6885</v>
      </c>
      <c r="I658" s="27">
        <v>1785</v>
      </c>
      <c r="J658" s="7" t="s">
        <v>239</v>
      </c>
    </row>
    <row r="659" spans="1:10" x14ac:dyDescent="0.25">
      <c r="A659" s="7" t="s">
        <v>216</v>
      </c>
      <c r="B659" s="7" t="s">
        <v>230</v>
      </c>
      <c r="C659" s="7" t="s">
        <v>237</v>
      </c>
      <c r="D659" s="7">
        <v>790</v>
      </c>
      <c r="E659" s="27">
        <v>120</v>
      </c>
      <c r="F659" s="27">
        <v>15</v>
      </c>
      <c r="G659" s="27">
        <v>11850</v>
      </c>
      <c r="H659" s="27">
        <v>10665</v>
      </c>
      <c r="I659" s="27">
        <v>2765</v>
      </c>
      <c r="J659" s="7" t="s">
        <v>241</v>
      </c>
    </row>
    <row r="660" spans="1:10" hidden="1" x14ac:dyDescent="0.25">
      <c r="A660" s="7" t="s">
        <v>211</v>
      </c>
      <c r="B660" s="7" t="s">
        <v>217</v>
      </c>
      <c r="C660" s="7" t="s">
        <v>237</v>
      </c>
      <c r="D660" s="7">
        <v>639</v>
      </c>
      <c r="E660" s="27">
        <v>120</v>
      </c>
      <c r="F660" s="27">
        <v>350</v>
      </c>
      <c r="G660" s="27">
        <v>223650</v>
      </c>
      <c r="H660" s="27">
        <v>201285</v>
      </c>
      <c r="I660" s="27">
        <v>35145</v>
      </c>
      <c r="J660" s="7" t="s">
        <v>225</v>
      </c>
    </row>
    <row r="661" spans="1:10" x14ac:dyDescent="0.25">
      <c r="A661" s="7" t="s">
        <v>224</v>
      </c>
      <c r="B661" s="7" t="s">
        <v>230</v>
      </c>
      <c r="C661" s="7" t="s">
        <v>237</v>
      </c>
      <c r="D661" s="7">
        <v>1596</v>
      </c>
      <c r="E661" s="27">
        <v>120</v>
      </c>
      <c r="F661" s="27">
        <v>125</v>
      </c>
      <c r="G661" s="27">
        <v>199500</v>
      </c>
      <c r="H661" s="27">
        <v>179550</v>
      </c>
      <c r="I661" s="27">
        <v>-11970</v>
      </c>
      <c r="J661" s="7" t="s">
        <v>228</v>
      </c>
    </row>
    <row r="662" spans="1:10" x14ac:dyDescent="0.25">
      <c r="A662" s="7" t="s">
        <v>226</v>
      </c>
      <c r="B662" s="7" t="s">
        <v>230</v>
      </c>
      <c r="C662" s="7" t="s">
        <v>237</v>
      </c>
      <c r="D662" s="7">
        <v>2294</v>
      </c>
      <c r="E662" s="27">
        <v>120</v>
      </c>
      <c r="F662" s="27">
        <v>300</v>
      </c>
      <c r="G662" s="27">
        <v>688200</v>
      </c>
      <c r="H662" s="27">
        <v>619380</v>
      </c>
      <c r="I662" s="27">
        <v>45880</v>
      </c>
      <c r="J662" s="7" t="s">
        <v>229</v>
      </c>
    </row>
    <row r="663" spans="1:10" hidden="1" x14ac:dyDescent="0.25">
      <c r="A663" s="7" t="s">
        <v>211</v>
      </c>
      <c r="B663" s="7" t="s">
        <v>215</v>
      </c>
      <c r="C663" s="7" t="s">
        <v>237</v>
      </c>
      <c r="D663" s="7">
        <v>241</v>
      </c>
      <c r="E663" s="27">
        <v>120</v>
      </c>
      <c r="F663" s="27">
        <v>20</v>
      </c>
      <c r="G663" s="27">
        <v>4820</v>
      </c>
      <c r="H663" s="27">
        <v>4338</v>
      </c>
      <c r="I663" s="27">
        <v>1928</v>
      </c>
      <c r="J663" s="7" t="s">
        <v>234</v>
      </c>
    </row>
    <row r="664" spans="1:10" hidden="1" x14ac:dyDescent="0.25">
      <c r="A664" s="7" t="s">
        <v>211</v>
      </c>
      <c r="B664" s="7" t="s">
        <v>215</v>
      </c>
      <c r="C664" s="7" t="s">
        <v>237</v>
      </c>
      <c r="D664" s="7">
        <v>2665</v>
      </c>
      <c r="E664" s="27">
        <v>120</v>
      </c>
      <c r="F664" s="27">
        <v>7</v>
      </c>
      <c r="G664" s="27">
        <v>18655</v>
      </c>
      <c r="H664" s="27">
        <v>16789.5</v>
      </c>
      <c r="I664" s="27">
        <v>3464.5</v>
      </c>
      <c r="J664" s="7" t="s">
        <v>242</v>
      </c>
    </row>
    <row r="665" spans="1:10" hidden="1" x14ac:dyDescent="0.25">
      <c r="A665" s="7" t="s">
        <v>224</v>
      </c>
      <c r="B665" s="7" t="s">
        <v>212</v>
      </c>
      <c r="C665" s="7" t="s">
        <v>237</v>
      </c>
      <c r="D665" s="7">
        <v>1916</v>
      </c>
      <c r="E665" s="27">
        <v>120</v>
      </c>
      <c r="F665" s="27">
        <v>125</v>
      </c>
      <c r="G665" s="27">
        <v>239500</v>
      </c>
      <c r="H665" s="27">
        <v>215550</v>
      </c>
      <c r="I665" s="27">
        <v>-14370</v>
      </c>
      <c r="J665" s="7" t="s">
        <v>236</v>
      </c>
    </row>
    <row r="666" spans="1:10" hidden="1" x14ac:dyDescent="0.25">
      <c r="A666" s="7" t="s">
        <v>226</v>
      </c>
      <c r="B666" s="7" t="s">
        <v>217</v>
      </c>
      <c r="C666" s="7" t="s">
        <v>237</v>
      </c>
      <c r="D666" s="7">
        <v>853</v>
      </c>
      <c r="E666" s="27">
        <v>120</v>
      </c>
      <c r="F666" s="27">
        <v>300</v>
      </c>
      <c r="G666" s="27">
        <v>255900</v>
      </c>
      <c r="H666" s="27">
        <v>230310</v>
      </c>
      <c r="I666" s="27">
        <v>17060</v>
      </c>
      <c r="J666" s="7" t="s">
        <v>220</v>
      </c>
    </row>
    <row r="667" spans="1:10" hidden="1" x14ac:dyDescent="0.25">
      <c r="A667" s="7" t="s">
        <v>224</v>
      </c>
      <c r="B667" s="7" t="s">
        <v>219</v>
      </c>
      <c r="C667" s="7" t="s">
        <v>238</v>
      </c>
      <c r="D667" s="7">
        <v>341</v>
      </c>
      <c r="E667" s="27">
        <v>250</v>
      </c>
      <c r="F667" s="27">
        <v>125</v>
      </c>
      <c r="G667" s="27">
        <v>42625</v>
      </c>
      <c r="H667" s="27">
        <v>38362.5</v>
      </c>
      <c r="I667" s="27">
        <v>-2557.5</v>
      </c>
      <c r="J667" s="7" t="s">
        <v>241</v>
      </c>
    </row>
    <row r="668" spans="1:10" hidden="1" x14ac:dyDescent="0.25">
      <c r="A668" s="7" t="s">
        <v>216</v>
      </c>
      <c r="B668" s="7" t="s">
        <v>219</v>
      </c>
      <c r="C668" s="7" t="s">
        <v>238</v>
      </c>
      <c r="D668" s="7">
        <v>641</v>
      </c>
      <c r="E668" s="27">
        <v>250</v>
      </c>
      <c r="F668" s="27">
        <v>15</v>
      </c>
      <c r="G668" s="27">
        <v>9615</v>
      </c>
      <c r="H668" s="27">
        <v>8653.5</v>
      </c>
      <c r="I668" s="27">
        <v>2243.5</v>
      </c>
      <c r="J668" s="7" t="s">
        <v>225</v>
      </c>
    </row>
    <row r="669" spans="1:10" x14ac:dyDescent="0.25">
      <c r="A669" s="7" t="s">
        <v>211</v>
      </c>
      <c r="B669" s="7" t="s">
        <v>230</v>
      </c>
      <c r="C669" s="7" t="s">
        <v>238</v>
      </c>
      <c r="D669" s="7">
        <v>2807</v>
      </c>
      <c r="E669" s="27">
        <v>250</v>
      </c>
      <c r="F669" s="27">
        <v>350</v>
      </c>
      <c r="G669" s="27">
        <v>982450</v>
      </c>
      <c r="H669" s="27">
        <v>884205</v>
      </c>
      <c r="I669" s="27">
        <v>154385</v>
      </c>
      <c r="J669" s="7" t="s">
        <v>227</v>
      </c>
    </row>
    <row r="670" spans="1:10" hidden="1" x14ac:dyDescent="0.25">
      <c r="A670" s="7" t="s">
        <v>226</v>
      </c>
      <c r="B670" s="7" t="s">
        <v>219</v>
      </c>
      <c r="C670" s="7" t="s">
        <v>238</v>
      </c>
      <c r="D670" s="7">
        <v>432</v>
      </c>
      <c r="E670" s="27">
        <v>250</v>
      </c>
      <c r="F670" s="27">
        <v>300</v>
      </c>
      <c r="G670" s="27">
        <v>129600</v>
      </c>
      <c r="H670" s="27">
        <v>116640</v>
      </c>
      <c r="I670" s="27">
        <v>8640</v>
      </c>
      <c r="J670" s="7" t="s">
        <v>228</v>
      </c>
    </row>
    <row r="671" spans="1:10" x14ac:dyDescent="0.25">
      <c r="A671" s="7" t="s">
        <v>226</v>
      </c>
      <c r="B671" s="7" t="s">
        <v>230</v>
      </c>
      <c r="C671" s="7" t="s">
        <v>238</v>
      </c>
      <c r="D671" s="7">
        <v>2294</v>
      </c>
      <c r="E671" s="27">
        <v>250</v>
      </c>
      <c r="F671" s="27">
        <v>300</v>
      </c>
      <c r="G671" s="27">
        <v>688200</v>
      </c>
      <c r="H671" s="27">
        <v>619380</v>
      </c>
      <c r="I671" s="27">
        <v>45880</v>
      </c>
      <c r="J671" s="7" t="s">
        <v>229</v>
      </c>
    </row>
    <row r="672" spans="1:10" hidden="1" x14ac:dyDescent="0.25">
      <c r="A672" s="7" t="s">
        <v>216</v>
      </c>
      <c r="B672" s="7" t="s">
        <v>217</v>
      </c>
      <c r="C672" s="7" t="s">
        <v>238</v>
      </c>
      <c r="D672" s="7">
        <v>2167</v>
      </c>
      <c r="E672" s="27">
        <v>250</v>
      </c>
      <c r="F672" s="27">
        <v>15</v>
      </c>
      <c r="G672" s="27">
        <v>32505</v>
      </c>
      <c r="H672" s="27">
        <v>29254.5</v>
      </c>
      <c r="I672" s="27">
        <v>7584.5</v>
      </c>
      <c r="J672" s="7" t="s">
        <v>229</v>
      </c>
    </row>
    <row r="673" spans="1:10" hidden="1" x14ac:dyDescent="0.25">
      <c r="A673" s="7" t="s">
        <v>224</v>
      </c>
      <c r="B673" s="7" t="s">
        <v>212</v>
      </c>
      <c r="C673" s="7" t="s">
        <v>238</v>
      </c>
      <c r="D673" s="7">
        <v>2529</v>
      </c>
      <c r="E673" s="27">
        <v>250</v>
      </c>
      <c r="F673" s="27">
        <v>125</v>
      </c>
      <c r="G673" s="27">
        <v>316125</v>
      </c>
      <c r="H673" s="27">
        <v>284512.5</v>
      </c>
      <c r="I673" s="27">
        <v>-18967.5</v>
      </c>
      <c r="J673" s="7" t="s">
        <v>242</v>
      </c>
    </row>
    <row r="674" spans="1:10" hidden="1" x14ac:dyDescent="0.25">
      <c r="A674" s="7" t="s">
        <v>211</v>
      </c>
      <c r="B674" s="7" t="s">
        <v>215</v>
      </c>
      <c r="C674" s="7" t="s">
        <v>238</v>
      </c>
      <c r="D674" s="7">
        <v>1870</v>
      </c>
      <c r="E674" s="27">
        <v>250</v>
      </c>
      <c r="F674" s="27">
        <v>350</v>
      </c>
      <c r="G674" s="27">
        <v>654500</v>
      </c>
      <c r="H674" s="27">
        <v>589050</v>
      </c>
      <c r="I674" s="27">
        <v>102850</v>
      </c>
      <c r="J674" s="7" t="s">
        <v>236</v>
      </c>
    </row>
    <row r="675" spans="1:10" x14ac:dyDescent="0.25">
      <c r="A675" s="7" t="s">
        <v>224</v>
      </c>
      <c r="B675" s="7" t="s">
        <v>230</v>
      </c>
      <c r="C675" s="7" t="s">
        <v>240</v>
      </c>
      <c r="D675" s="7">
        <v>579</v>
      </c>
      <c r="E675" s="27">
        <v>260</v>
      </c>
      <c r="F675" s="27">
        <v>125</v>
      </c>
      <c r="G675" s="27">
        <v>72375</v>
      </c>
      <c r="H675" s="27">
        <v>65137.5</v>
      </c>
      <c r="I675" s="27">
        <v>-4342.5</v>
      </c>
      <c r="J675" s="7" t="s">
        <v>214</v>
      </c>
    </row>
    <row r="676" spans="1:10" hidden="1" x14ac:dyDescent="0.25">
      <c r="A676" s="7" t="s">
        <v>211</v>
      </c>
      <c r="B676" s="7" t="s">
        <v>212</v>
      </c>
      <c r="C676" s="7" t="s">
        <v>240</v>
      </c>
      <c r="D676" s="7">
        <v>2240</v>
      </c>
      <c r="E676" s="27">
        <v>260</v>
      </c>
      <c r="F676" s="27">
        <v>350</v>
      </c>
      <c r="G676" s="27">
        <v>784000</v>
      </c>
      <c r="H676" s="27">
        <v>705600</v>
      </c>
      <c r="I676" s="27">
        <v>123200</v>
      </c>
      <c r="J676" s="7" t="s">
        <v>232</v>
      </c>
    </row>
    <row r="677" spans="1:10" x14ac:dyDescent="0.25">
      <c r="A677" s="7" t="s">
        <v>226</v>
      </c>
      <c r="B677" s="7" t="s">
        <v>230</v>
      </c>
      <c r="C677" s="7" t="s">
        <v>240</v>
      </c>
      <c r="D677" s="7">
        <v>2993</v>
      </c>
      <c r="E677" s="27">
        <v>260</v>
      </c>
      <c r="F677" s="27">
        <v>300</v>
      </c>
      <c r="G677" s="27">
        <v>897900</v>
      </c>
      <c r="H677" s="27">
        <v>808110</v>
      </c>
      <c r="I677" s="27">
        <v>59860</v>
      </c>
      <c r="J677" s="7" t="s">
        <v>222</v>
      </c>
    </row>
    <row r="678" spans="1:10" hidden="1" x14ac:dyDescent="0.25">
      <c r="A678" s="7" t="s">
        <v>223</v>
      </c>
      <c r="B678" s="7" t="s">
        <v>212</v>
      </c>
      <c r="C678" s="7" t="s">
        <v>240</v>
      </c>
      <c r="D678" s="7">
        <v>3520.5</v>
      </c>
      <c r="E678" s="27">
        <v>260</v>
      </c>
      <c r="F678" s="27">
        <v>12</v>
      </c>
      <c r="G678" s="27">
        <v>42246</v>
      </c>
      <c r="H678" s="27">
        <v>38021.399999999994</v>
      </c>
      <c r="I678" s="27">
        <v>27459.899999999998</v>
      </c>
      <c r="J678" s="7" t="s">
        <v>239</v>
      </c>
    </row>
    <row r="679" spans="1:10" hidden="1" x14ac:dyDescent="0.25">
      <c r="A679" s="7" t="s">
        <v>211</v>
      </c>
      <c r="B679" s="7" t="s">
        <v>219</v>
      </c>
      <c r="C679" s="7" t="s">
        <v>240</v>
      </c>
      <c r="D679" s="7">
        <v>2039</v>
      </c>
      <c r="E679" s="27">
        <v>260</v>
      </c>
      <c r="F679" s="27">
        <v>20</v>
      </c>
      <c r="G679" s="27">
        <v>40780</v>
      </c>
      <c r="H679" s="27">
        <v>36702</v>
      </c>
      <c r="I679" s="27">
        <v>16312</v>
      </c>
      <c r="J679" s="7" t="s">
        <v>241</v>
      </c>
    </row>
    <row r="680" spans="1:10" hidden="1" x14ac:dyDescent="0.25">
      <c r="A680" s="7" t="s">
        <v>223</v>
      </c>
      <c r="B680" s="7" t="s">
        <v>215</v>
      </c>
      <c r="C680" s="7" t="s">
        <v>240</v>
      </c>
      <c r="D680" s="7">
        <v>2574</v>
      </c>
      <c r="E680" s="27">
        <v>260</v>
      </c>
      <c r="F680" s="27">
        <v>12</v>
      </c>
      <c r="G680" s="27">
        <v>30888</v>
      </c>
      <c r="H680" s="27">
        <v>27799.200000000001</v>
      </c>
      <c r="I680" s="27">
        <v>20077.2</v>
      </c>
      <c r="J680" s="7" t="s">
        <v>227</v>
      </c>
    </row>
    <row r="681" spans="1:10" hidden="1" x14ac:dyDescent="0.25">
      <c r="A681" s="7" t="s">
        <v>211</v>
      </c>
      <c r="B681" s="7" t="s">
        <v>212</v>
      </c>
      <c r="C681" s="7" t="s">
        <v>240</v>
      </c>
      <c r="D681" s="7">
        <v>707</v>
      </c>
      <c r="E681" s="27">
        <v>260</v>
      </c>
      <c r="F681" s="27">
        <v>350</v>
      </c>
      <c r="G681" s="27">
        <v>247450</v>
      </c>
      <c r="H681" s="27">
        <v>222705</v>
      </c>
      <c r="I681" s="27">
        <v>38885</v>
      </c>
      <c r="J681" s="7" t="s">
        <v>228</v>
      </c>
    </row>
    <row r="682" spans="1:10" hidden="1" x14ac:dyDescent="0.25">
      <c r="A682" s="7" t="s">
        <v>216</v>
      </c>
      <c r="B682" s="7" t="s">
        <v>217</v>
      </c>
      <c r="C682" s="7" t="s">
        <v>240</v>
      </c>
      <c r="D682" s="7">
        <v>2072</v>
      </c>
      <c r="E682" s="27">
        <v>260</v>
      </c>
      <c r="F682" s="27">
        <v>15</v>
      </c>
      <c r="G682" s="27">
        <v>31080</v>
      </c>
      <c r="H682" s="27">
        <v>27972</v>
      </c>
      <c r="I682" s="27">
        <v>7252</v>
      </c>
      <c r="J682" s="7" t="s">
        <v>220</v>
      </c>
    </row>
    <row r="683" spans="1:10" hidden="1" x14ac:dyDescent="0.25">
      <c r="A683" s="7" t="s">
        <v>226</v>
      </c>
      <c r="B683" s="7" t="s">
        <v>217</v>
      </c>
      <c r="C683" s="7" t="s">
        <v>240</v>
      </c>
      <c r="D683" s="7">
        <v>853</v>
      </c>
      <c r="E683" s="27">
        <v>260</v>
      </c>
      <c r="F683" s="27">
        <v>300</v>
      </c>
      <c r="G683" s="27">
        <v>255900</v>
      </c>
      <c r="H683" s="27">
        <v>230310</v>
      </c>
      <c r="I683" s="27">
        <v>17060</v>
      </c>
      <c r="J683" s="7" t="s">
        <v>220</v>
      </c>
    </row>
    <row r="684" spans="1:10" hidden="1" x14ac:dyDescent="0.25">
      <c r="A684" s="7" t="s">
        <v>223</v>
      </c>
      <c r="B684" s="7" t="s">
        <v>217</v>
      </c>
      <c r="C684" s="7" t="s">
        <v>213</v>
      </c>
      <c r="D684" s="7">
        <v>1198</v>
      </c>
      <c r="E684" s="27">
        <v>3</v>
      </c>
      <c r="F684" s="27">
        <v>12</v>
      </c>
      <c r="G684" s="27">
        <v>14376</v>
      </c>
      <c r="H684" s="27">
        <v>12794.64</v>
      </c>
      <c r="I684" s="27">
        <v>9200.64</v>
      </c>
      <c r="J684" s="7" t="s">
        <v>229</v>
      </c>
    </row>
    <row r="685" spans="1:10" hidden="1" x14ac:dyDescent="0.25">
      <c r="A685" s="7" t="s">
        <v>211</v>
      </c>
      <c r="B685" s="7" t="s">
        <v>217</v>
      </c>
      <c r="C685" s="7" t="s">
        <v>231</v>
      </c>
      <c r="D685" s="7">
        <v>2532</v>
      </c>
      <c r="E685" s="27">
        <v>10</v>
      </c>
      <c r="F685" s="27">
        <v>7</v>
      </c>
      <c r="G685" s="27">
        <v>17724</v>
      </c>
      <c r="H685" s="27">
        <v>15774.36</v>
      </c>
      <c r="I685" s="27">
        <v>3114.3599999999997</v>
      </c>
      <c r="J685" s="7" t="s">
        <v>239</v>
      </c>
    </row>
    <row r="686" spans="1:10" hidden="1" x14ac:dyDescent="0.25">
      <c r="A686" s="7" t="s">
        <v>223</v>
      </c>
      <c r="B686" s="7" t="s">
        <v>217</v>
      </c>
      <c r="C686" s="7" t="s">
        <v>231</v>
      </c>
      <c r="D686" s="7">
        <v>1198</v>
      </c>
      <c r="E686" s="27">
        <v>10</v>
      </c>
      <c r="F686" s="27">
        <v>12</v>
      </c>
      <c r="G686" s="27">
        <v>14376</v>
      </c>
      <c r="H686" s="27">
        <v>12794.64</v>
      </c>
      <c r="I686" s="27">
        <v>9200.64</v>
      </c>
      <c r="J686" s="7" t="s">
        <v>229</v>
      </c>
    </row>
    <row r="687" spans="1:10" hidden="1" x14ac:dyDescent="0.25">
      <c r="A687" s="7" t="s">
        <v>216</v>
      </c>
      <c r="B687" s="7" t="s">
        <v>212</v>
      </c>
      <c r="C687" s="7" t="s">
        <v>237</v>
      </c>
      <c r="D687" s="7">
        <v>384</v>
      </c>
      <c r="E687" s="27">
        <v>120</v>
      </c>
      <c r="F687" s="27">
        <v>15</v>
      </c>
      <c r="G687" s="27">
        <v>5760</v>
      </c>
      <c r="H687" s="27">
        <v>5126.3999999999996</v>
      </c>
      <c r="I687" s="27">
        <v>1286.3999999999999</v>
      </c>
      <c r="J687" s="7" t="s">
        <v>214</v>
      </c>
    </row>
    <row r="688" spans="1:10" hidden="1" x14ac:dyDescent="0.25">
      <c r="A688" s="7" t="s">
        <v>223</v>
      </c>
      <c r="B688" s="7" t="s">
        <v>215</v>
      </c>
      <c r="C688" s="7" t="s">
        <v>237</v>
      </c>
      <c r="D688" s="7">
        <v>472</v>
      </c>
      <c r="E688" s="27">
        <v>120</v>
      </c>
      <c r="F688" s="27">
        <v>12</v>
      </c>
      <c r="G688" s="27">
        <v>5664</v>
      </c>
      <c r="H688" s="27">
        <v>5040.96</v>
      </c>
      <c r="I688" s="27">
        <v>3624.96</v>
      </c>
      <c r="J688" s="7" t="s">
        <v>234</v>
      </c>
    </row>
    <row r="689" spans="1:10" x14ac:dyDescent="0.25">
      <c r="A689" s="7" t="s">
        <v>211</v>
      </c>
      <c r="B689" s="7" t="s">
        <v>230</v>
      </c>
      <c r="C689" s="7" t="s">
        <v>238</v>
      </c>
      <c r="D689" s="7">
        <v>1579</v>
      </c>
      <c r="E689" s="27">
        <v>250</v>
      </c>
      <c r="F689" s="27">
        <v>7</v>
      </c>
      <c r="G689" s="27">
        <v>11053</v>
      </c>
      <c r="H689" s="27">
        <v>9837.17</v>
      </c>
      <c r="I689" s="27">
        <v>1942.17</v>
      </c>
      <c r="J689" s="7" t="s">
        <v>222</v>
      </c>
    </row>
    <row r="690" spans="1:10" hidden="1" x14ac:dyDescent="0.25">
      <c r="A690" s="7" t="s">
        <v>223</v>
      </c>
      <c r="B690" s="7" t="s">
        <v>219</v>
      </c>
      <c r="C690" s="7" t="s">
        <v>238</v>
      </c>
      <c r="D690" s="7">
        <v>1005</v>
      </c>
      <c r="E690" s="27">
        <v>250</v>
      </c>
      <c r="F690" s="27">
        <v>12</v>
      </c>
      <c r="G690" s="27">
        <v>12060</v>
      </c>
      <c r="H690" s="27">
        <v>10733.4</v>
      </c>
      <c r="I690" s="27">
        <v>7718.4</v>
      </c>
      <c r="J690" s="7" t="s">
        <v>233</v>
      </c>
    </row>
    <row r="691" spans="1:10" x14ac:dyDescent="0.25">
      <c r="A691" s="7" t="s">
        <v>216</v>
      </c>
      <c r="B691" s="7" t="s">
        <v>230</v>
      </c>
      <c r="C691" s="7" t="s">
        <v>240</v>
      </c>
      <c r="D691" s="7">
        <v>3199.5</v>
      </c>
      <c r="E691" s="27">
        <v>260</v>
      </c>
      <c r="F691" s="27">
        <v>15</v>
      </c>
      <c r="G691" s="27">
        <v>47992.5</v>
      </c>
      <c r="H691" s="27">
        <v>42713.324999999997</v>
      </c>
      <c r="I691" s="27">
        <v>10718.324999999999</v>
      </c>
      <c r="J691" s="7" t="s">
        <v>225</v>
      </c>
    </row>
    <row r="692" spans="1:10" hidden="1" x14ac:dyDescent="0.25">
      <c r="A692" s="7" t="s">
        <v>223</v>
      </c>
      <c r="B692" s="7" t="s">
        <v>215</v>
      </c>
      <c r="C692" s="7" t="s">
        <v>240</v>
      </c>
      <c r="D692" s="7">
        <v>472</v>
      </c>
      <c r="E692" s="27">
        <v>260</v>
      </c>
      <c r="F692" s="27">
        <v>12</v>
      </c>
      <c r="G692" s="27">
        <v>5664</v>
      </c>
      <c r="H692" s="27">
        <v>5040.96</v>
      </c>
      <c r="I692" s="27">
        <v>3624.96</v>
      </c>
      <c r="J692" s="7" t="s">
        <v>234</v>
      </c>
    </row>
    <row r="693" spans="1:10" hidden="1" x14ac:dyDescent="0.25">
      <c r="A693" s="7" t="s">
        <v>223</v>
      </c>
      <c r="B693" s="7" t="s">
        <v>212</v>
      </c>
      <c r="C693" s="7" t="s">
        <v>213</v>
      </c>
      <c r="D693" s="7">
        <v>1937</v>
      </c>
      <c r="E693" s="27">
        <v>3</v>
      </c>
      <c r="F693" s="27">
        <v>12</v>
      </c>
      <c r="G693" s="27">
        <v>23244</v>
      </c>
      <c r="H693" s="27">
        <v>20687.16</v>
      </c>
      <c r="I693" s="27">
        <v>14876.16</v>
      </c>
      <c r="J693" s="7" t="s">
        <v>232</v>
      </c>
    </row>
    <row r="694" spans="1:10" hidden="1" x14ac:dyDescent="0.25">
      <c r="A694" s="7" t="s">
        <v>211</v>
      </c>
      <c r="B694" s="7" t="s">
        <v>215</v>
      </c>
      <c r="C694" s="7" t="s">
        <v>213</v>
      </c>
      <c r="D694" s="7">
        <v>792</v>
      </c>
      <c r="E694" s="27">
        <v>3</v>
      </c>
      <c r="F694" s="27">
        <v>350</v>
      </c>
      <c r="G694" s="27">
        <v>277200</v>
      </c>
      <c r="H694" s="27">
        <v>246708</v>
      </c>
      <c r="I694" s="27">
        <v>40788</v>
      </c>
      <c r="J694" s="7" t="s">
        <v>222</v>
      </c>
    </row>
    <row r="695" spans="1:10" hidden="1" x14ac:dyDescent="0.25">
      <c r="A695" s="7" t="s">
        <v>226</v>
      </c>
      <c r="B695" s="7" t="s">
        <v>215</v>
      </c>
      <c r="C695" s="7" t="s">
        <v>213</v>
      </c>
      <c r="D695" s="7">
        <v>2811</v>
      </c>
      <c r="E695" s="27">
        <v>3</v>
      </c>
      <c r="F695" s="27">
        <v>300</v>
      </c>
      <c r="G695" s="27">
        <v>843300</v>
      </c>
      <c r="H695" s="27">
        <v>750537</v>
      </c>
      <c r="I695" s="27">
        <v>47787</v>
      </c>
      <c r="J695" s="7" t="s">
        <v>225</v>
      </c>
    </row>
    <row r="696" spans="1:10" hidden="1" x14ac:dyDescent="0.25">
      <c r="A696" s="7" t="s">
        <v>224</v>
      </c>
      <c r="B696" s="7" t="s">
        <v>217</v>
      </c>
      <c r="C696" s="7" t="s">
        <v>213</v>
      </c>
      <c r="D696" s="7">
        <v>2441</v>
      </c>
      <c r="E696" s="27">
        <v>3</v>
      </c>
      <c r="F696" s="27">
        <v>125</v>
      </c>
      <c r="G696" s="27">
        <v>305125</v>
      </c>
      <c r="H696" s="27">
        <v>271561.25</v>
      </c>
      <c r="I696" s="27">
        <v>-21358.75</v>
      </c>
      <c r="J696" s="7" t="s">
        <v>234</v>
      </c>
    </row>
    <row r="697" spans="1:10" hidden="1" x14ac:dyDescent="0.25">
      <c r="A697" s="7" t="s">
        <v>216</v>
      </c>
      <c r="B697" s="7" t="s">
        <v>212</v>
      </c>
      <c r="C697" s="7" t="s">
        <v>213</v>
      </c>
      <c r="D697" s="7">
        <v>1560</v>
      </c>
      <c r="E697" s="27">
        <v>3</v>
      </c>
      <c r="F697" s="27">
        <v>15</v>
      </c>
      <c r="G697" s="27">
        <v>23400</v>
      </c>
      <c r="H697" s="27">
        <v>20826</v>
      </c>
      <c r="I697" s="27">
        <v>5226</v>
      </c>
      <c r="J697" s="7" t="s">
        <v>235</v>
      </c>
    </row>
    <row r="698" spans="1:10" hidden="1" x14ac:dyDescent="0.25">
      <c r="A698" s="7" t="s">
        <v>211</v>
      </c>
      <c r="B698" s="7" t="s">
        <v>219</v>
      </c>
      <c r="C698" s="7" t="s">
        <v>213</v>
      </c>
      <c r="D698" s="7">
        <v>2706</v>
      </c>
      <c r="E698" s="27">
        <v>3</v>
      </c>
      <c r="F698" s="27">
        <v>7</v>
      </c>
      <c r="G698" s="27">
        <v>18942</v>
      </c>
      <c r="H698" s="27">
        <v>16858.38</v>
      </c>
      <c r="I698" s="27">
        <v>3328.380000000001</v>
      </c>
      <c r="J698" s="7" t="s">
        <v>235</v>
      </c>
    </row>
    <row r="699" spans="1:10" hidden="1" x14ac:dyDescent="0.25">
      <c r="A699" s="7" t="s">
        <v>211</v>
      </c>
      <c r="B699" s="7" t="s">
        <v>215</v>
      </c>
      <c r="C699" s="7" t="s">
        <v>221</v>
      </c>
      <c r="D699" s="7">
        <v>766</v>
      </c>
      <c r="E699" s="27">
        <v>5</v>
      </c>
      <c r="F699" s="27">
        <v>350</v>
      </c>
      <c r="G699" s="27">
        <v>268100</v>
      </c>
      <c r="H699" s="27">
        <v>238609</v>
      </c>
      <c r="I699" s="27">
        <v>39449</v>
      </c>
      <c r="J699" s="7" t="s">
        <v>214</v>
      </c>
    </row>
    <row r="700" spans="1:10" hidden="1" x14ac:dyDescent="0.25">
      <c r="A700" s="7" t="s">
        <v>211</v>
      </c>
      <c r="B700" s="7" t="s">
        <v>215</v>
      </c>
      <c r="C700" s="7" t="s">
        <v>221</v>
      </c>
      <c r="D700" s="7">
        <v>2992</v>
      </c>
      <c r="E700" s="27">
        <v>5</v>
      </c>
      <c r="F700" s="27">
        <v>20</v>
      </c>
      <c r="G700" s="27">
        <v>59840</v>
      </c>
      <c r="H700" s="27">
        <v>53257.599999999999</v>
      </c>
      <c r="I700" s="27">
        <v>23337.599999999999</v>
      </c>
      <c r="J700" s="7" t="s">
        <v>229</v>
      </c>
    </row>
    <row r="701" spans="1:10" hidden="1" x14ac:dyDescent="0.25">
      <c r="A701" s="7" t="s">
        <v>216</v>
      </c>
      <c r="B701" s="7" t="s">
        <v>219</v>
      </c>
      <c r="C701" s="7" t="s">
        <v>221</v>
      </c>
      <c r="D701" s="7">
        <v>2157</v>
      </c>
      <c r="E701" s="27">
        <v>5</v>
      </c>
      <c r="F701" s="27">
        <v>15</v>
      </c>
      <c r="G701" s="27">
        <v>32355</v>
      </c>
      <c r="H701" s="27">
        <v>28795.95</v>
      </c>
      <c r="I701" s="27">
        <v>7225.9500000000007</v>
      </c>
      <c r="J701" s="7" t="s">
        <v>220</v>
      </c>
    </row>
    <row r="702" spans="1:10" hidden="1" x14ac:dyDescent="0.25">
      <c r="A702" s="7" t="s">
        <v>226</v>
      </c>
      <c r="B702" s="7" t="s">
        <v>212</v>
      </c>
      <c r="C702" s="7" t="s">
        <v>231</v>
      </c>
      <c r="D702" s="7">
        <v>873</v>
      </c>
      <c r="E702" s="27">
        <v>10</v>
      </c>
      <c r="F702" s="27">
        <v>300</v>
      </c>
      <c r="G702" s="27">
        <v>261900</v>
      </c>
      <c r="H702" s="27">
        <v>233091</v>
      </c>
      <c r="I702" s="27">
        <v>14841</v>
      </c>
      <c r="J702" s="7" t="s">
        <v>214</v>
      </c>
    </row>
    <row r="703" spans="1:10" hidden="1" x14ac:dyDescent="0.25">
      <c r="A703" s="7" t="s">
        <v>211</v>
      </c>
      <c r="B703" s="7" t="s">
        <v>219</v>
      </c>
      <c r="C703" s="7" t="s">
        <v>231</v>
      </c>
      <c r="D703" s="7">
        <v>1122</v>
      </c>
      <c r="E703" s="27">
        <v>10</v>
      </c>
      <c r="F703" s="27">
        <v>20</v>
      </c>
      <c r="G703" s="27">
        <v>22440</v>
      </c>
      <c r="H703" s="27">
        <v>19971.599999999999</v>
      </c>
      <c r="I703" s="27">
        <v>8751.5999999999985</v>
      </c>
      <c r="J703" s="7" t="s">
        <v>222</v>
      </c>
    </row>
    <row r="704" spans="1:10" hidden="1" x14ac:dyDescent="0.25">
      <c r="A704" s="7" t="s">
        <v>211</v>
      </c>
      <c r="B704" s="7" t="s">
        <v>212</v>
      </c>
      <c r="C704" s="7" t="s">
        <v>231</v>
      </c>
      <c r="D704" s="7">
        <v>2104.5</v>
      </c>
      <c r="E704" s="27">
        <v>10</v>
      </c>
      <c r="F704" s="27">
        <v>350</v>
      </c>
      <c r="G704" s="27">
        <v>736575</v>
      </c>
      <c r="H704" s="27">
        <v>655551.75</v>
      </c>
      <c r="I704" s="27">
        <v>108381.75</v>
      </c>
      <c r="J704" s="7" t="s">
        <v>225</v>
      </c>
    </row>
    <row r="705" spans="1:10" hidden="1" x14ac:dyDescent="0.25">
      <c r="A705" s="7" t="s">
        <v>223</v>
      </c>
      <c r="B705" s="7" t="s">
        <v>212</v>
      </c>
      <c r="C705" s="7" t="s">
        <v>231</v>
      </c>
      <c r="D705" s="7">
        <v>4026</v>
      </c>
      <c r="E705" s="27">
        <v>10</v>
      </c>
      <c r="F705" s="27">
        <v>12</v>
      </c>
      <c r="G705" s="27">
        <v>48312</v>
      </c>
      <c r="H705" s="27">
        <v>42997.68</v>
      </c>
      <c r="I705" s="27">
        <v>30919.68</v>
      </c>
      <c r="J705" s="7" t="s">
        <v>225</v>
      </c>
    </row>
    <row r="706" spans="1:10" hidden="1" x14ac:dyDescent="0.25">
      <c r="A706" s="7" t="s">
        <v>223</v>
      </c>
      <c r="B706" s="7" t="s">
        <v>217</v>
      </c>
      <c r="C706" s="7" t="s">
        <v>231</v>
      </c>
      <c r="D706" s="7">
        <v>2425.5</v>
      </c>
      <c r="E706" s="27">
        <v>10</v>
      </c>
      <c r="F706" s="27">
        <v>12</v>
      </c>
      <c r="G706" s="27">
        <v>29106</v>
      </c>
      <c r="H706" s="27">
        <v>25904.340000000004</v>
      </c>
      <c r="I706" s="27">
        <v>18627.840000000004</v>
      </c>
      <c r="J706" s="7" t="s">
        <v>225</v>
      </c>
    </row>
    <row r="707" spans="1:10" hidden="1" x14ac:dyDescent="0.25">
      <c r="A707" s="7" t="s">
        <v>211</v>
      </c>
      <c r="B707" s="7" t="s">
        <v>212</v>
      </c>
      <c r="C707" s="7" t="s">
        <v>231</v>
      </c>
      <c r="D707" s="7">
        <v>2394</v>
      </c>
      <c r="E707" s="27">
        <v>10</v>
      </c>
      <c r="F707" s="27">
        <v>20</v>
      </c>
      <c r="G707" s="27">
        <v>47880</v>
      </c>
      <c r="H707" s="27">
        <v>42613.2</v>
      </c>
      <c r="I707" s="27">
        <v>18673.199999999997</v>
      </c>
      <c r="J707" s="7" t="s">
        <v>227</v>
      </c>
    </row>
    <row r="708" spans="1:10" hidden="1" x14ac:dyDescent="0.25">
      <c r="A708" s="7" t="s">
        <v>216</v>
      </c>
      <c r="B708" s="7" t="s">
        <v>219</v>
      </c>
      <c r="C708" s="7" t="s">
        <v>231</v>
      </c>
      <c r="D708" s="7">
        <v>1984</v>
      </c>
      <c r="E708" s="27">
        <v>10</v>
      </c>
      <c r="F708" s="27">
        <v>15</v>
      </c>
      <c r="G708" s="27">
        <v>29760</v>
      </c>
      <c r="H708" s="27">
        <v>26486.400000000001</v>
      </c>
      <c r="I708" s="27">
        <v>6646.4000000000015</v>
      </c>
      <c r="J708" s="7" t="s">
        <v>227</v>
      </c>
    </row>
    <row r="709" spans="1:10" hidden="1" x14ac:dyDescent="0.25">
      <c r="A709" s="7" t="s">
        <v>224</v>
      </c>
      <c r="B709" s="7" t="s">
        <v>217</v>
      </c>
      <c r="C709" s="7" t="s">
        <v>231</v>
      </c>
      <c r="D709" s="7">
        <v>2441</v>
      </c>
      <c r="E709" s="27">
        <v>10</v>
      </c>
      <c r="F709" s="27">
        <v>125</v>
      </c>
      <c r="G709" s="27">
        <v>305125</v>
      </c>
      <c r="H709" s="27">
        <v>271561.25</v>
      </c>
      <c r="I709" s="27">
        <v>-21358.75</v>
      </c>
      <c r="J709" s="7" t="s">
        <v>234</v>
      </c>
    </row>
    <row r="710" spans="1:10" hidden="1" x14ac:dyDescent="0.25">
      <c r="A710" s="7" t="s">
        <v>211</v>
      </c>
      <c r="B710" s="7" t="s">
        <v>215</v>
      </c>
      <c r="C710" s="7" t="s">
        <v>231</v>
      </c>
      <c r="D710" s="7">
        <v>2992</v>
      </c>
      <c r="E710" s="27">
        <v>10</v>
      </c>
      <c r="F710" s="27">
        <v>20</v>
      </c>
      <c r="G710" s="27">
        <v>59840</v>
      </c>
      <c r="H710" s="27">
        <v>53257.599999999999</v>
      </c>
      <c r="I710" s="27">
        <v>23337.599999999999</v>
      </c>
      <c r="J710" s="7" t="s">
        <v>229</v>
      </c>
    </row>
    <row r="711" spans="1:10" hidden="1" x14ac:dyDescent="0.25">
      <c r="A711" s="7" t="s">
        <v>226</v>
      </c>
      <c r="B711" s="7" t="s">
        <v>212</v>
      </c>
      <c r="C711" s="7" t="s">
        <v>231</v>
      </c>
      <c r="D711" s="7">
        <v>1366</v>
      </c>
      <c r="E711" s="27">
        <v>10</v>
      </c>
      <c r="F711" s="27">
        <v>300</v>
      </c>
      <c r="G711" s="27">
        <v>409800</v>
      </c>
      <c r="H711" s="27">
        <v>364722</v>
      </c>
      <c r="I711" s="27">
        <v>23222</v>
      </c>
      <c r="J711" s="7" t="s">
        <v>242</v>
      </c>
    </row>
    <row r="712" spans="1:10" hidden="1" x14ac:dyDescent="0.25">
      <c r="A712" s="7" t="s">
        <v>211</v>
      </c>
      <c r="B712" s="7" t="s">
        <v>217</v>
      </c>
      <c r="C712" s="7" t="s">
        <v>237</v>
      </c>
      <c r="D712" s="7">
        <v>2805</v>
      </c>
      <c r="E712" s="27">
        <v>120</v>
      </c>
      <c r="F712" s="27">
        <v>20</v>
      </c>
      <c r="G712" s="27">
        <v>56100</v>
      </c>
      <c r="H712" s="27">
        <v>49929</v>
      </c>
      <c r="I712" s="27">
        <v>21879</v>
      </c>
      <c r="J712" s="7" t="s">
        <v>233</v>
      </c>
    </row>
    <row r="713" spans="1:10" hidden="1" x14ac:dyDescent="0.25">
      <c r="A713" s="7" t="s">
        <v>216</v>
      </c>
      <c r="B713" s="7" t="s">
        <v>219</v>
      </c>
      <c r="C713" s="7" t="s">
        <v>237</v>
      </c>
      <c r="D713" s="7">
        <v>655</v>
      </c>
      <c r="E713" s="27">
        <v>120</v>
      </c>
      <c r="F713" s="27">
        <v>15</v>
      </c>
      <c r="G713" s="27">
        <v>9825</v>
      </c>
      <c r="H713" s="27">
        <v>8744.25</v>
      </c>
      <c r="I713" s="27">
        <v>2194.25</v>
      </c>
      <c r="J713" s="7" t="s">
        <v>233</v>
      </c>
    </row>
    <row r="714" spans="1:10" hidden="1" x14ac:dyDescent="0.25">
      <c r="A714" s="7" t="s">
        <v>211</v>
      </c>
      <c r="B714" s="7" t="s">
        <v>219</v>
      </c>
      <c r="C714" s="7" t="s">
        <v>237</v>
      </c>
      <c r="D714" s="7">
        <v>344</v>
      </c>
      <c r="E714" s="27">
        <v>120</v>
      </c>
      <c r="F714" s="27">
        <v>350</v>
      </c>
      <c r="G714" s="27">
        <v>120400</v>
      </c>
      <c r="H714" s="27">
        <v>107156</v>
      </c>
      <c r="I714" s="27">
        <v>17716</v>
      </c>
      <c r="J714" s="7" t="s">
        <v>229</v>
      </c>
    </row>
    <row r="715" spans="1:10" hidden="1" x14ac:dyDescent="0.25">
      <c r="A715" s="7" t="s">
        <v>211</v>
      </c>
      <c r="B715" s="7" t="s">
        <v>212</v>
      </c>
      <c r="C715" s="7" t="s">
        <v>237</v>
      </c>
      <c r="D715" s="7">
        <v>1808</v>
      </c>
      <c r="E715" s="27">
        <v>120</v>
      </c>
      <c r="F715" s="27">
        <v>7</v>
      </c>
      <c r="G715" s="27">
        <v>12656</v>
      </c>
      <c r="H715" s="27">
        <v>11263.84</v>
      </c>
      <c r="I715" s="27">
        <v>2223.84</v>
      </c>
      <c r="J715" s="7" t="s">
        <v>242</v>
      </c>
    </row>
    <row r="716" spans="1:10" hidden="1" x14ac:dyDescent="0.25">
      <c r="A716" s="7" t="s">
        <v>223</v>
      </c>
      <c r="B716" s="7" t="s">
        <v>217</v>
      </c>
      <c r="C716" s="7" t="s">
        <v>238</v>
      </c>
      <c r="D716" s="7">
        <v>1734</v>
      </c>
      <c r="E716" s="27">
        <v>250</v>
      </c>
      <c r="F716" s="27">
        <v>12</v>
      </c>
      <c r="G716" s="27">
        <v>20808</v>
      </c>
      <c r="H716" s="27">
        <v>18519.12</v>
      </c>
      <c r="I716" s="27">
        <v>13317.119999999999</v>
      </c>
      <c r="J716" s="7" t="s">
        <v>214</v>
      </c>
    </row>
    <row r="717" spans="1:10" hidden="1" x14ac:dyDescent="0.25">
      <c r="A717" s="7" t="s">
        <v>224</v>
      </c>
      <c r="B717" s="7" t="s">
        <v>219</v>
      </c>
      <c r="C717" s="7" t="s">
        <v>238</v>
      </c>
      <c r="D717" s="7">
        <v>554</v>
      </c>
      <c r="E717" s="27">
        <v>250</v>
      </c>
      <c r="F717" s="27">
        <v>125</v>
      </c>
      <c r="G717" s="27">
        <v>69250</v>
      </c>
      <c r="H717" s="27">
        <v>61632.5</v>
      </c>
      <c r="I717" s="27">
        <v>-4847.5</v>
      </c>
      <c r="J717" s="7" t="s">
        <v>214</v>
      </c>
    </row>
    <row r="718" spans="1:10" hidden="1" x14ac:dyDescent="0.25">
      <c r="A718" s="7" t="s">
        <v>211</v>
      </c>
      <c r="B718" s="7" t="s">
        <v>212</v>
      </c>
      <c r="C718" s="7" t="s">
        <v>238</v>
      </c>
      <c r="D718" s="7">
        <v>2935</v>
      </c>
      <c r="E718" s="27">
        <v>250</v>
      </c>
      <c r="F718" s="27">
        <v>20</v>
      </c>
      <c r="G718" s="27">
        <v>58700</v>
      </c>
      <c r="H718" s="27">
        <v>52243</v>
      </c>
      <c r="I718" s="27">
        <v>22893</v>
      </c>
      <c r="J718" s="7" t="s">
        <v>235</v>
      </c>
    </row>
    <row r="719" spans="1:10" hidden="1" x14ac:dyDescent="0.25">
      <c r="A719" s="7" t="s">
        <v>224</v>
      </c>
      <c r="B719" s="7" t="s">
        <v>215</v>
      </c>
      <c r="C719" s="7" t="s">
        <v>240</v>
      </c>
      <c r="D719" s="7">
        <v>3165</v>
      </c>
      <c r="E719" s="27">
        <v>260</v>
      </c>
      <c r="F719" s="27">
        <v>125</v>
      </c>
      <c r="G719" s="27">
        <v>395625</v>
      </c>
      <c r="H719" s="27">
        <v>352106.25</v>
      </c>
      <c r="I719" s="27">
        <v>-27693.75</v>
      </c>
      <c r="J719" s="7" t="s">
        <v>214</v>
      </c>
    </row>
    <row r="720" spans="1:10" hidden="1" x14ac:dyDescent="0.25">
      <c r="A720" s="7" t="s">
        <v>211</v>
      </c>
      <c r="B720" s="7" t="s">
        <v>219</v>
      </c>
      <c r="C720" s="7" t="s">
        <v>240</v>
      </c>
      <c r="D720" s="7">
        <v>2629</v>
      </c>
      <c r="E720" s="27">
        <v>260</v>
      </c>
      <c r="F720" s="27">
        <v>20</v>
      </c>
      <c r="G720" s="27">
        <v>52580</v>
      </c>
      <c r="H720" s="27">
        <v>46796.2</v>
      </c>
      <c r="I720" s="27">
        <v>20506.199999999997</v>
      </c>
      <c r="J720" s="7" t="s">
        <v>214</v>
      </c>
    </row>
    <row r="721" spans="1:10" hidden="1" x14ac:dyDescent="0.25">
      <c r="A721" s="7" t="s">
        <v>224</v>
      </c>
      <c r="B721" s="7" t="s">
        <v>217</v>
      </c>
      <c r="C721" s="7" t="s">
        <v>240</v>
      </c>
      <c r="D721" s="7">
        <v>1433</v>
      </c>
      <c r="E721" s="27">
        <v>260</v>
      </c>
      <c r="F721" s="27">
        <v>125</v>
      </c>
      <c r="G721" s="27">
        <v>179125</v>
      </c>
      <c r="H721" s="27">
        <v>159421.25</v>
      </c>
      <c r="I721" s="27">
        <v>-12538.75</v>
      </c>
      <c r="J721" s="7" t="s">
        <v>241</v>
      </c>
    </row>
    <row r="722" spans="1:10" hidden="1" x14ac:dyDescent="0.25">
      <c r="A722" s="7" t="s">
        <v>224</v>
      </c>
      <c r="B722" s="7" t="s">
        <v>219</v>
      </c>
      <c r="C722" s="7" t="s">
        <v>240</v>
      </c>
      <c r="D722" s="7">
        <v>947</v>
      </c>
      <c r="E722" s="27">
        <v>260</v>
      </c>
      <c r="F722" s="27">
        <v>125</v>
      </c>
      <c r="G722" s="27">
        <v>118375</v>
      </c>
      <c r="H722" s="27">
        <v>105353.75</v>
      </c>
      <c r="I722" s="27">
        <v>-8286.25</v>
      </c>
      <c r="J722" s="7" t="s">
        <v>233</v>
      </c>
    </row>
    <row r="723" spans="1:10" hidden="1" x14ac:dyDescent="0.25">
      <c r="A723" s="7" t="s">
        <v>211</v>
      </c>
      <c r="B723" s="7" t="s">
        <v>219</v>
      </c>
      <c r="C723" s="7" t="s">
        <v>240</v>
      </c>
      <c r="D723" s="7">
        <v>344</v>
      </c>
      <c r="E723" s="27">
        <v>260</v>
      </c>
      <c r="F723" s="27">
        <v>350</v>
      </c>
      <c r="G723" s="27">
        <v>120400</v>
      </c>
      <c r="H723" s="27">
        <v>107156</v>
      </c>
      <c r="I723" s="27">
        <v>17716</v>
      </c>
      <c r="J723" s="7" t="s">
        <v>229</v>
      </c>
    </row>
    <row r="724" spans="1:10" hidden="1" x14ac:dyDescent="0.25">
      <c r="A724" s="7" t="s">
        <v>216</v>
      </c>
      <c r="B724" s="7" t="s">
        <v>219</v>
      </c>
      <c r="C724" s="7" t="s">
        <v>240</v>
      </c>
      <c r="D724" s="7">
        <v>2157</v>
      </c>
      <c r="E724" s="27">
        <v>260</v>
      </c>
      <c r="F724" s="27">
        <v>15</v>
      </c>
      <c r="G724" s="27">
        <v>32355</v>
      </c>
      <c r="H724" s="27">
        <v>28795.95</v>
      </c>
      <c r="I724" s="27">
        <v>7225.9500000000007</v>
      </c>
      <c r="J724" s="7" t="s">
        <v>220</v>
      </c>
    </row>
    <row r="725" spans="1:10" x14ac:dyDescent="0.25">
      <c r="A725" s="7" t="s">
        <v>211</v>
      </c>
      <c r="B725" s="7" t="s">
        <v>230</v>
      </c>
      <c r="C725" s="7" t="s">
        <v>231</v>
      </c>
      <c r="D725" s="7">
        <v>380</v>
      </c>
      <c r="E725" s="27">
        <v>10</v>
      </c>
      <c r="F725" s="27">
        <v>7</v>
      </c>
      <c r="G725" s="27">
        <v>2660</v>
      </c>
      <c r="H725" s="27">
        <v>2367.4</v>
      </c>
      <c r="I725" s="27">
        <v>467.40000000000009</v>
      </c>
      <c r="J725" s="7" t="s">
        <v>233</v>
      </c>
    </row>
    <row r="726" spans="1:10" hidden="1" x14ac:dyDescent="0.25">
      <c r="A726" s="7" t="s">
        <v>211</v>
      </c>
      <c r="B726" s="7" t="s">
        <v>219</v>
      </c>
      <c r="C726" s="7" t="s">
        <v>213</v>
      </c>
      <c r="D726" s="7">
        <v>886</v>
      </c>
      <c r="E726" s="27">
        <v>3</v>
      </c>
      <c r="F726" s="27">
        <v>350</v>
      </c>
      <c r="G726" s="27">
        <v>310100</v>
      </c>
      <c r="H726" s="27">
        <v>272888</v>
      </c>
      <c r="I726" s="27">
        <v>42528</v>
      </c>
      <c r="J726" s="7" t="s">
        <v>218</v>
      </c>
    </row>
    <row r="727" spans="1:10" hidden="1" x14ac:dyDescent="0.25">
      <c r="A727" s="7" t="s">
        <v>224</v>
      </c>
      <c r="B727" s="7" t="s">
        <v>212</v>
      </c>
      <c r="C727" s="7" t="s">
        <v>213</v>
      </c>
      <c r="D727" s="7">
        <v>2416</v>
      </c>
      <c r="E727" s="27">
        <v>3</v>
      </c>
      <c r="F727" s="27">
        <v>125</v>
      </c>
      <c r="G727" s="27">
        <v>302000</v>
      </c>
      <c r="H727" s="27">
        <v>265760</v>
      </c>
      <c r="I727" s="27">
        <v>-24160</v>
      </c>
      <c r="J727" s="7" t="s">
        <v>233</v>
      </c>
    </row>
    <row r="728" spans="1:10" hidden="1" x14ac:dyDescent="0.25">
      <c r="A728" s="7" t="s">
        <v>224</v>
      </c>
      <c r="B728" s="7" t="s">
        <v>219</v>
      </c>
      <c r="C728" s="7" t="s">
        <v>213</v>
      </c>
      <c r="D728" s="7">
        <v>2156</v>
      </c>
      <c r="E728" s="27">
        <v>3</v>
      </c>
      <c r="F728" s="27">
        <v>125</v>
      </c>
      <c r="G728" s="27">
        <v>269500</v>
      </c>
      <c r="H728" s="27">
        <v>237160</v>
      </c>
      <c r="I728" s="27">
        <v>-21560</v>
      </c>
      <c r="J728" s="7" t="s">
        <v>234</v>
      </c>
    </row>
    <row r="729" spans="1:10" hidden="1" x14ac:dyDescent="0.25">
      <c r="A729" s="7" t="s">
        <v>216</v>
      </c>
      <c r="B729" s="7" t="s">
        <v>212</v>
      </c>
      <c r="C729" s="7" t="s">
        <v>213</v>
      </c>
      <c r="D729" s="7">
        <v>2689</v>
      </c>
      <c r="E729" s="27">
        <v>3</v>
      </c>
      <c r="F729" s="27">
        <v>15</v>
      </c>
      <c r="G729" s="27">
        <v>40335</v>
      </c>
      <c r="H729" s="27">
        <v>35494.800000000003</v>
      </c>
      <c r="I729" s="27">
        <v>8604.8000000000029</v>
      </c>
      <c r="J729" s="7" t="s">
        <v>242</v>
      </c>
    </row>
    <row r="730" spans="1:10" x14ac:dyDescent="0.25">
      <c r="A730" s="7" t="s">
        <v>216</v>
      </c>
      <c r="B730" s="7" t="s">
        <v>230</v>
      </c>
      <c r="C730" s="7" t="s">
        <v>221</v>
      </c>
      <c r="D730" s="7">
        <v>677</v>
      </c>
      <c r="E730" s="27">
        <v>5</v>
      </c>
      <c r="F730" s="27">
        <v>15</v>
      </c>
      <c r="G730" s="27">
        <v>10155</v>
      </c>
      <c r="H730" s="27">
        <v>8936.4</v>
      </c>
      <c r="I730" s="27">
        <v>2166.3999999999996</v>
      </c>
      <c r="J730" s="7" t="s">
        <v>222</v>
      </c>
    </row>
    <row r="731" spans="1:10" hidden="1" x14ac:dyDescent="0.25">
      <c r="A731" s="7" t="s">
        <v>226</v>
      </c>
      <c r="B731" s="7" t="s">
        <v>217</v>
      </c>
      <c r="C731" s="7" t="s">
        <v>221</v>
      </c>
      <c r="D731" s="7">
        <v>1773</v>
      </c>
      <c r="E731" s="27">
        <v>5</v>
      </c>
      <c r="F731" s="27">
        <v>300</v>
      </c>
      <c r="G731" s="27">
        <v>531900</v>
      </c>
      <c r="H731" s="27">
        <v>468072</v>
      </c>
      <c r="I731" s="27">
        <v>24822</v>
      </c>
      <c r="J731" s="7" t="s">
        <v>239</v>
      </c>
    </row>
    <row r="732" spans="1:10" hidden="1" x14ac:dyDescent="0.25">
      <c r="A732" s="7" t="s">
        <v>211</v>
      </c>
      <c r="B732" s="7" t="s">
        <v>219</v>
      </c>
      <c r="C732" s="7" t="s">
        <v>221</v>
      </c>
      <c r="D732" s="7">
        <v>2420</v>
      </c>
      <c r="E732" s="27">
        <v>5</v>
      </c>
      <c r="F732" s="27">
        <v>7</v>
      </c>
      <c r="G732" s="27">
        <v>16940</v>
      </c>
      <c r="H732" s="27">
        <v>14907.2</v>
      </c>
      <c r="I732" s="27">
        <v>2807.2000000000007</v>
      </c>
      <c r="J732" s="7" t="s">
        <v>228</v>
      </c>
    </row>
    <row r="733" spans="1:10" hidden="1" x14ac:dyDescent="0.25">
      <c r="A733" s="7" t="s">
        <v>211</v>
      </c>
      <c r="B733" s="7" t="s">
        <v>212</v>
      </c>
      <c r="C733" s="7" t="s">
        <v>221</v>
      </c>
      <c r="D733" s="7">
        <v>2734</v>
      </c>
      <c r="E733" s="27">
        <v>5</v>
      </c>
      <c r="F733" s="27">
        <v>7</v>
      </c>
      <c r="G733" s="27">
        <v>19138</v>
      </c>
      <c r="H733" s="27">
        <v>16841.439999999999</v>
      </c>
      <c r="I733" s="27">
        <v>3171.4399999999987</v>
      </c>
      <c r="J733" s="7" t="s">
        <v>234</v>
      </c>
    </row>
    <row r="734" spans="1:10" hidden="1" x14ac:dyDescent="0.25">
      <c r="A734" s="7" t="s">
        <v>211</v>
      </c>
      <c r="B734" s="7" t="s">
        <v>219</v>
      </c>
      <c r="C734" s="7" t="s">
        <v>221</v>
      </c>
      <c r="D734" s="7">
        <v>1715</v>
      </c>
      <c r="E734" s="27">
        <v>5</v>
      </c>
      <c r="F734" s="27">
        <v>20</v>
      </c>
      <c r="G734" s="27">
        <v>34300</v>
      </c>
      <c r="H734" s="27">
        <v>30184</v>
      </c>
      <c r="I734" s="27">
        <v>13034</v>
      </c>
      <c r="J734" s="7" t="s">
        <v>229</v>
      </c>
    </row>
    <row r="735" spans="1:10" hidden="1" x14ac:dyDescent="0.25">
      <c r="A735" s="7" t="s">
        <v>226</v>
      </c>
      <c r="B735" s="7" t="s">
        <v>217</v>
      </c>
      <c r="C735" s="7" t="s">
        <v>221</v>
      </c>
      <c r="D735" s="7">
        <v>1186</v>
      </c>
      <c r="E735" s="27">
        <v>5</v>
      </c>
      <c r="F735" s="27">
        <v>300</v>
      </c>
      <c r="G735" s="27">
        <v>355800</v>
      </c>
      <c r="H735" s="27">
        <v>313104</v>
      </c>
      <c r="I735" s="27">
        <v>16604</v>
      </c>
      <c r="J735" s="7" t="s">
        <v>236</v>
      </c>
    </row>
    <row r="736" spans="1:10" x14ac:dyDescent="0.25">
      <c r="A736" s="7" t="s">
        <v>226</v>
      </c>
      <c r="B736" s="7" t="s">
        <v>230</v>
      </c>
      <c r="C736" s="7" t="s">
        <v>231</v>
      </c>
      <c r="D736" s="7">
        <v>3495</v>
      </c>
      <c r="E736" s="27">
        <v>10</v>
      </c>
      <c r="F736" s="27">
        <v>300</v>
      </c>
      <c r="G736" s="27">
        <v>1048500</v>
      </c>
      <c r="H736" s="27">
        <v>922680</v>
      </c>
      <c r="I736" s="27">
        <v>48930</v>
      </c>
      <c r="J736" s="7" t="s">
        <v>214</v>
      </c>
    </row>
    <row r="737" spans="1:10" hidden="1" x14ac:dyDescent="0.25">
      <c r="A737" s="7" t="s">
        <v>211</v>
      </c>
      <c r="B737" s="7" t="s">
        <v>219</v>
      </c>
      <c r="C737" s="7" t="s">
        <v>231</v>
      </c>
      <c r="D737" s="7">
        <v>886</v>
      </c>
      <c r="E737" s="27">
        <v>10</v>
      </c>
      <c r="F737" s="27">
        <v>350</v>
      </c>
      <c r="G737" s="27">
        <v>310100</v>
      </c>
      <c r="H737" s="27">
        <v>272888</v>
      </c>
      <c r="I737" s="27">
        <v>42528</v>
      </c>
      <c r="J737" s="7" t="s">
        <v>218</v>
      </c>
    </row>
    <row r="738" spans="1:10" hidden="1" x14ac:dyDescent="0.25">
      <c r="A738" s="7" t="s">
        <v>224</v>
      </c>
      <c r="B738" s="7" t="s">
        <v>219</v>
      </c>
      <c r="C738" s="7" t="s">
        <v>231</v>
      </c>
      <c r="D738" s="7">
        <v>2156</v>
      </c>
      <c r="E738" s="27">
        <v>10</v>
      </c>
      <c r="F738" s="27">
        <v>125</v>
      </c>
      <c r="G738" s="27">
        <v>269500</v>
      </c>
      <c r="H738" s="27">
        <v>237160</v>
      </c>
      <c r="I738" s="27">
        <v>-21560</v>
      </c>
      <c r="J738" s="7" t="s">
        <v>234</v>
      </c>
    </row>
    <row r="739" spans="1:10" hidden="1" x14ac:dyDescent="0.25">
      <c r="A739" s="7" t="s">
        <v>211</v>
      </c>
      <c r="B739" s="7" t="s">
        <v>219</v>
      </c>
      <c r="C739" s="7" t="s">
        <v>231</v>
      </c>
      <c r="D739" s="7">
        <v>905</v>
      </c>
      <c r="E739" s="27">
        <v>10</v>
      </c>
      <c r="F739" s="27">
        <v>20</v>
      </c>
      <c r="G739" s="27">
        <v>18100</v>
      </c>
      <c r="H739" s="27">
        <v>15928</v>
      </c>
      <c r="I739" s="27">
        <v>6878</v>
      </c>
      <c r="J739" s="7" t="s">
        <v>234</v>
      </c>
    </row>
    <row r="740" spans="1:10" hidden="1" x14ac:dyDescent="0.25">
      <c r="A740" s="7" t="s">
        <v>211</v>
      </c>
      <c r="B740" s="7" t="s">
        <v>219</v>
      </c>
      <c r="C740" s="7" t="s">
        <v>231</v>
      </c>
      <c r="D740" s="7">
        <v>1715</v>
      </c>
      <c r="E740" s="27">
        <v>10</v>
      </c>
      <c r="F740" s="27">
        <v>20</v>
      </c>
      <c r="G740" s="27">
        <v>34300</v>
      </c>
      <c r="H740" s="27">
        <v>30184</v>
      </c>
      <c r="I740" s="27">
        <v>13034</v>
      </c>
      <c r="J740" s="7" t="s">
        <v>229</v>
      </c>
    </row>
    <row r="741" spans="1:10" hidden="1" x14ac:dyDescent="0.25">
      <c r="A741" s="7" t="s">
        <v>211</v>
      </c>
      <c r="B741" s="7" t="s">
        <v>217</v>
      </c>
      <c r="C741" s="7" t="s">
        <v>231</v>
      </c>
      <c r="D741" s="7">
        <v>1594</v>
      </c>
      <c r="E741" s="27">
        <v>10</v>
      </c>
      <c r="F741" s="27">
        <v>350</v>
      </c>
      <c r="G741" s="27">
        <v>557900</v>
      </c>
      <c r="H741" s="27">
        <v>490952</v>
      </c>
      <c r="I741" s="27">
        <v>76512</v>
      </c>
      <c r="J741" s="7" t="s">
        <v>242</v>
      </c>
    </row>
    <row r="742" spans="1:10" hidden="1" x14ac:dyDescent="0.25">
      <c r="A742" s="7" t="s">
        <v>226</v>
      </c>
      <c r="B742" s="7" t="s">
        <v>215</v>
      </c>
      <c r="C742" s="7" t="s">
        <v>231</v>
      </c>
      <c r="D742" s="7">
        <v>1359</v>
      </c>
      <c r="E742" s="27">
        <v>10</v>
      </c>
      <c r="F742" s="27">
        <v>300</v>
      </c>
      <c r="G742" s="27">
        <v>407700</v>
      </c>
      <c r="H742" s="27">
        <v>358776</v>
      </c>
      <c r="I742" s="27">
        <v>19026</v>
      </c>
      <c r="J742" s="7" t="s">
        <v>242</v>
      </c>
    </row>
    <row r="743" spans="1:10" hidden="1" x14ac:dyDescent="0.25">
      <c r="A743" s="7" t="s">
        <v>226</v>
      </c>
      <c r="B743" s="7" t="s">
        <v>219</v>
      </c>
      <c r="C743" s="7" t="s">
        <v>231</v>
      </c>
      <c r="D743" s="7">
        <v>2150</v>
      </c>
      <c r="E743" s="27">
        <v>10</v>
      </c>
      <c r="F743" s="27">
        <v>300</v>
      </c>
      <c r="G743" s="27">
        <v>645000</v>
      </c>
      <c r="H743" s="27">
        <v>567600</v>
      </c>
      <c r="I743" s="27">
        <v>30100</v>
      </c>
      <c r="J743" s="7" t="s">
        <v>242</v>
      </c>
    </row>
    <row r="744" spans="1:10" hidden="1" x14ac:dyDescent="0.25">
      <c r="A744" s="7" t="s">
        <v>211</v>
      </c>
      <c r="B744" s="7" t="s">
        <v>219</v>
      </c>
      <c r="C744" s="7" t="s">
        <v>231</v>
      </c>
      <c r="D744" s="7">
        <v>1197</v>
      </c>
      <c r="E744" s="27">
        <v>10</v>
      </c>
      <c r="F744" s="27">
        <v>350</v>
      </c>
      <c r="G744" s="27">
        <v>418950</v>
      </c>
      <c r="H744" s="27">
        <v>368676</v>
      </c>
      <c r="I744" s="27">
        <v>57456</v>
      </c>
      <c r="J744" s="7" t="s">
        <v>242</v>
      </c>
    </row>
    <row r="745" spans="1:10" hidden="1" x14ac:dyDescent="0.25">
      <c r="A745" s="7" t="s">
        <v>216</v>
      </c>
      <c r="B745" s="7" t="s">
        <v>219</v>
      </c>
      <c r="C745" s="7" t="s">
        <v>231</v>
      </c>
      <c r="D745" s="7">
        <v>380</v>
      </c>
      <c r="E745" s="27">
        <v>10</v>
      </c>
      <c r="F745" s="27">
        <v>15</v>
      </c>
      <c r="G745" s="27">
        <v>5700</v>
      </c>
      <c r="H745" s="27">
        <v>5016</v>
      </c>
      <c r="I745" s="27">
        <v>1216</v>
      </c>
      <c r="J745" s="7" t="s">
        <v>236</v>
      </c>
    </row>
    <row r="746" spans="1:10" hidden="1" x14ac:dyDescent="0.25">
      <c r="A746" s="7" t="s">
        <v>211</v>
      </c>
      <c r="B746" s="7" t="s">
        <v>219</v>
      </c>
      <c r="C746" s="7" t="s">
        <v>231</v>
      </c>
      <c r="D746" s="7">
        <v>1233</v>
      </c>
      <c r="E746" s="27">
        <v>10</v>
      </c>
      <c r="F746" s="27">
        <v>20</v>
      </c>
      <c r="G746" s="27">
        <v>24660</v>
      </c>
      <c r="H746" s="27">
        <v>21700.799999999999</v>
      </c>
      <c r="I746" s="27">
        <v>9370.7999999999993</v>
      </c>
      <c r="J746" s="7" t="s">
        <v>220</v>
      </c>
    </row>
    <row r="747" spans="1:10" hidden="1" x14ac:dyDescent="0.25">
      <c r="A747" s="7" t="s">
        <v>211</v>
      </c>
      <c r="B747" s="7" t="s">
        <v>219</v>
      </c>
      <c r="C747" s="7" t="s">
        <v>237</v>
      </c>
      <c r="D747" s="7">
        <v>1395</v>
      </c>
      <c r="E747" s="27">
        <v>120</v>
      </c>
      <c r="F747" s="27">
        <v>350</v>
      </c>
      <c r="G747" s="27">
        <v>488250</v>
      </c>
      <c r="H747" s="27">
        <v>429660</v>
      </c>
      <c r="I747" s="27">
        <v>66960</v>
      </c>
      <c r="J747" s="7" t="s">
        <v>225</v>
      </c>
    </row>
    <row r="748" spans="1:10" x14ac:dyDescent="0.25">
      <c r="A748" s="7" t="s">
        <v>211</v>
      </c>
      <c r="B748" s="7" t="s">
        <v>230</v>
      </c>
      <c r="C748" s="7" t="s">
        <v>237</v>
      </c>
      <c r="D748" s="7">
        <v>986</v>
      </c>
      <c r="E748" s="27">
        <v>120</v>
      </c>
      <c r="F748" s="27">
        <v>350</v>
      </c>
      <c r="G748" s="27">
        <v>345100</v>
      </c>
      <c r="H748" s="27">
        <v>303688</v>
      </c>
      <c r="I748" s="27">
        <v>47328</v>
      </c>
      <c r="J748" s="7" t="s">
        <v>234</v>
      </c>
    </row>
    <row r="749" spans="1:10" hidden="1" x14ac:dyDescent="0.25">
      <c r="A749" s="7" t="s">
        <v>211</v>
      </c>
      <c r="B749" s="7" t="s">
        <v>219</v>
      </c>
      <c r="C749" s="7" t="s">
        <v>237</v>
      </c>
      <c r="D749" s="7">
        <v>905</v>
      </c>
      <c r="E749" s="27">
        <v>120</v>
      </c>
      <c r="F749" s="27">
        <v>20</v>
      </c>
      <c r="G749" s="27">
        <v>18100</v>
      </c>
      <c r="H749" s="27">
        <v>15928</v>
      </c>
      <c r="I749" s="27">
        <v>6878</v>
      </c>
      <c r="J749" s="7" t="s">
        <v>234</v>
      </c>
    </row>
    <row r="750" spans="1:10" hidden="1" x14ac:dyDescent="0.25">
      <c r="A750" s="7" t="s">
        <v>223</v>
      </c>
      <c r="B750" s="7" t="s">
        <v>212</v>
      </c>
      <c r="C750" s="7" t="s">
        <v>238</v>
      </c>
      <c r="D750" s="7">
        <v>2109</v>
      </c>
      <c r="E750" s="27">
        <v>250</v>
      </c>
      <c r="F750" s="27">
        <v>12</v>
      </c>
      <c r="G750" s="27">
        <v>25308</v>
      </c>
      <c r="H750" s="27">
        <v>22271.040000000001</v>
      </c>
      <c r="I750" s="27">
        <v>15944.04</v>
      </c>
      <c r="J750" s="7" t="s">
        <v>241</v>
      </c>
    </row>
    <row r="751" spans="1:10" hidden="1" x14ac:dyDescent="0.25">
      <c r="A751" s="7" t="s">
        <v>216</v>
      </c>
      <c r="B751" s="7" t="s">
        <v>217</v>
      </c>
      <c r="C751" s="7" t="s">
        <v>238</v>
      </c>
      <c r="D751" s="7">
        <v>3874.5</v>
      </c>
      <c r="E751" s="27">
        <v>250</v>
      </c>
      <c r="F751" s="27">
        <v>15</v>
      </c>
      <c r="G751" s="27">
        <v>58117.5</v>
      </c>
      <c r="H751" s="27">
        <v>51143.399999999994</v>
      </c>
      <c r="I751" s="27">
        <v>12398.399999999998</v>
      </c>
      <c r="J751" s="7" t="s">
        <v>225</v>
      </c>
    </row>
    <row r="752" spans="1:10" hidden="1" x14ac:dyDescent="0.25">
      <c r="A752" s="7" t="s">
        <v>211</v>
      </c>
      <c r="B752" s="7" t="s">
        <v>212</v>
      </c>
      <c r="C752" s="7" t="s">
        <v>238</v>
      </c>
      <c r="D752" s="7">
        <v>623</v>
      </c>
      <c r="E752" s="27">
        <v>250</v>
      </c>
      <c r="F752" s="27">
        <v>350</v>
      </c>
      <c r="G752" s="27">
        <v>218050</v>
      </c>
      <c r="H752" s="27">
        <v>191884</v>
      </c>
      <c r="I752" s="27">
        <v>29904</v>
      </c>
      <c r="J752" s="7" t="s">
        <v>233</v>
      </c>
    </row>
    <row r="753" spans="1:10" x14ac:dyDescent="0.25">
      <c r="A753" s="7" t="s">
        <v>211</v>
      </c>
      <c r="B753" s="7" t="s">
        <v>230</v>
      </c>
      <c r="C753" s="7" t="s">
        <v>238</v>
      </c>
      <c r="D753" s="7">
        <v>986</v>
      </c>
      <c r="E753" s="27">
        <v>250</v>
      </c>
      <c r="F753" s="27">
        <v>350</v>
      </c>
      <c r="G753" s="27">
        <v>345100</v>
      </c>
      <c r="H753" s="27">
        <v>303688</v>
      </c>
      <c r="I753" s="27">
        <v>47328</v>
      </c>
      <c r="J753" s="7" t="s">
        <v>234</v>
      </c>
    </row>
    <row r="754" spans="1:10" x14ac:dyDescent="0.25">
      <c r="A754" s="7" t="s">
        <v>224</v>
      </c>
      <c r="B754" s="7" t="s">
        <v>230</v>
      </c>
      <c r="C754" s="7" t="s">
        <v>238</v>
      </c>
      <c r="D754" s="7">
        <v>2387</v>
      </c>
      <c r="E754" s="27">
        <v>250</v>
      </c>
      <c r="F754" s="27">
        <v>125</v>
      </c>
      <c r="G754" s="27">
        <v>298375</v>
      </c>
      <c r="H754" s="27">
        <v>262570</v>
      </c>
      <c r="I754" s="27">
        <v>-23870</v>
      </c>
      <c r="J754" s="7" t="s">
        <v>242</v>
      </c>
    </row>
    <row r="755" spans="1:10" hidden="1" x14ac:dyDescent="0.25">
      <c r="A755" s="7" t="s">
        <v>211</v>
      </c>
      <c r="B755" s="7" t="s">
        <v>219</v>
      </c>
      <c r="C755" s="7" t="s">
        <v>238</v>
      </c>
      <c r="D755" s="7">
        <v>1233</v>
      </c>
      <c r="E755" s="27">
        <v>250</v>
      </c>
      <c r="F755" s="27">
        <v>20</v>
      </c>
      <c r="G755" s="27">
        <v>24660</v>
      </c>
      <c r="H755" s="27">
        <v>21700.799999999999</v>
      </c>
      <c r="I755" s="27">
        <v>9370.7999999999993</v>
      </c>
      <c r="J755" s="7" t="s">
        <v>220</v>
      </c>
    </row>
    <row r="756" spans="1:10" x14ac:dyDescent="0.25">
      <c r="A756" s="7" t="s">
        <v>211</v>
      </c>
      <c r="B756" s="7" t="s">
        <v>230</v>
      </c>
      <c r="C756" s="7" t="s">
        <v>240</v>
      </c>
      <c r="D756" s="7">
        <v>270</v>
      </c>
      <c r="E756" s="27">
        <v>260</v>
      </c>
      <c r="F756" s="27">
        <v>350</v>
      </c>
      <c r="G756" s="27">
        <v>94500</v>
      </c>
      <c r="H756" s="27">
        <v>83160</v>
      </c>
      <c r="I756" s="27">
        <v>12960</v>
      </c>
      <c r="J756" s="7" t="s">
        <v>232</v>
      </c>
    </row>
    <row r="757" spans="1:10" hidden="1" x14ac:dyDescent="0.25">
      <c r="A757" s="7" t="s">
        <v>211</v>
      </c>
      <c r="B757" s="7" t="s">
        <v>217</v>
      </c>
      <c r="C757" s="7" t="s">
        <v>240</v>
      </c>
      <c r="D757" s="7">
        <v>3421.5</v>
      </c>
      <c r="E757" s="27">
        <v>260</v>
      </c>
      <c r="F757" s="27">
        <v>7</v>
      </c>
      <c r="G757" s="27">
        <v>23950.5</v>
      </c>
      <c r="H757" s="27">
        <v>21076.44</v>
      </c>
      <c r="I757" s="27">
        <v>3968.9399999999987</v>
      </c>
      <c r="J757" s="7" t="s">
        <v>225</v>
      </c>
    </row>
    <row r="758" spans="1:10" hidden="1" x14ac:dyDescent="0.25">
      <c r="A758" s="7" t="s">
        <v>211</v>
      </c>
      <c r="B758" s="7" t="s">
        <v>212</v>
      </c>
      <c r="C758" s="7" t="s">
        <v>240</v>
      </c>
      <c r="D758" s="7">
        <v>2734</v>
      </c>
      <c r="E758" s="27">
        <v>260</v>
      </c>
      <c r="F758" s="27">
        <v>7</v>
      </c>
      <c r="G758" s="27">
        <v>19138</v>
      </c>
      <c r="H758" s="27">
        <v>16841.439999999999</v>
      </c>
      <c r="I758" s="27">
        <v>3171.4399999999987</v>
      </c>
      <c r="J758" s="7" t="s">
        <v>234</v>
      </c>
    </row>
    <row r="759" spans="1:10" x14ac:dyDescent="0.25">
      <c r="A759" s="7" t="s">
        <v>216</v>
      </c>
      <c r="B759" s="7" t="s">
        <v>230</v>
      </c>
      <c r="C759" s="7" t="s">
        <v>240</v>
      </c>
      <c r="D759" s="7">
        <v>2548</v>
      </c>
      <c r="E759" s="27">
        <v>260</v>
      </c>
      <c r="F759" s="27">
        <v>15</v>
      </c>
      <c r="G759" s="27">
        <v>38220</v>
      </c>
      <c r="H759" s="27">
        <v>33633.599999999999</v>
      </c>
      <c r="I759" s="27">
        <v>8153.5999999999985</v>
      </c>
      <c r="J759" s="7" t="s">
        <v>235</v>
      </c>
    </row>
    <row r="760" spans="1:10" hidden="1" x14ac:dyDescent="0.25">
      <c r="A760" s="7" t="s">
        <v>211</v>
      </c>
      <c r="B760" s="7" t="s">
        <v>217</v>
      </c>
      <c r="C760" s="7" t="s">
        <v>213</v>
      </c>
      <c r="D760" s="7">
        <v>2521.5</v>
      </c>
      <c r="E760" s="27">
        <v>3</v>
      </c>
      <c r="F760" s="27">
        <v>20</v>
      </c>
      <c r="G760" s="27">
        <v>50430</v>
      </c>
      <c r="H760" s="27">
        <v>44378.399999999994</v>
      </c>
      <c r="I760" s="27">
        <v>19163.399999999998</v>
      </c>
      <c r="J760" s="7" t="s">
        <v>214</v>
      </c>
    </row>
    <row r="761" spans="1:10" hidden="1" x14ac:dyDescent="0.25">
      <c r="A761" s="7" t="s">
        <v>223</v>
      </c>
      <c r="B761" s="7" t="s">
        <v>219</v>
      </c>
      <c r="C761" s="7" t="s">
        <v>221</v>
      </c>
      <c r="D761" s="7">
        <v>2661</v>
      </c>
      <c r="E761" s="27">
        <v>5</v>
      </c>
      <c r="F761" s="27">
        <v>12</v>
      </c>
      <c r="G761" s="27">
        <v>31932</v>
      </c>
      <c r="H761" s="27">
        <v>28100.16</v>
      </c>
      <c r="I761" s="27">
        <v>20117.16</v>
      </c>
      <c r="J761" s="7" t="s">
        <v>241</v>
      </c>
    </row>
    <row r="762" spans="1:10" hidden="1" x14ac:dyDescent="0.25">
      <c r="A762" s="7" t="s">
        <v>211</v>
      </c>
      <c r="B762" s="7" t="s">
        <v>215</v>
      </c>
      <c r="C762" s="7" t="s">
        <v>231</v>
      </c>
      <c r="D762" s="7">
        <v>1531</v>
      </c>
      <c r="E762" s="27">
        <v>10</v>
      </c>
      <c r="F762" s="27">
        <v>20</v>
      </c>
      <c r="G762" s="27">
        <v>30620</v>
      </c>
      <c r="H762" s="27">
        <v>26945.599999999999</v>
      </c>
      <c r="I762" s="27">
        <v>11635.599999999999</v>
      </c>
      <c r="J762" s="7" t="s">
        <v>220</v>
      </c>
    </row>
    <row r="763" spans="1:10" hidden="1" x14ac:dyDescent="0.25">
      <c r="A763" s="7" t="s">
        <v>211</v>
      </c>
      <c r="B763" s="7" t="s">
        <v>217</v>
      </c>
      <c r="C763" s="7" t="s">
        <v>238</v>
      </c>
      <c r="D763" s="7">
        <v>1491</v>
      </c>
      <c r="E763" s="27">
        <v>250</v>
      </c>
      <c r="F763" s="27">
        <v>7</v>
      </c>
      <c r="G763" s="27">
        <v>10437</v>
      </c>
      <c r="H763" s="27">
        <v>9184.56</v>
      </c>
      <c r="I763" s="27">
        <v>1729.5599999999995</v>
      </c>
      <c r="J763" s="7" t="s">
        <v>222</v>
      </c>
    </row>
    <row r="764" spans="1:10" hidden="1" x14ac:dyDescent="0.25">
      <c r="A764" s="7" t="s">
        <v>211</v>
      </c>
      <c r="B764" s="7" t="s">
        <v>215</v>
      </c>
      <c r="C764" s="7" t="s">
        <v>238</v>
      </c>
      <c r="D764" s="7">
        <v>1531</v>
      </c>
      <c r="E764" s="27">
        <v>250</v>
      </c>
      <c r="F764" s="27">
        <v>20</v>
      </c>
      <c r="G764" s="27">
        <v>30620</v>
      </c>
      <c r="H764" s="27">
        <v>26945.599999999999</v>
      </c>
      <c r="I764" s="27">
        <v>11635.599999999999</v>
      </c>
      <c r="J764" s="7" t="s">
        <v>220</v>
      </c>
    </row>
    <row r="765" spans="1:10" hidden="1" x14ac:dyDescent="0.25">
      <c r="A765" s="7" t="s">
        <v>223</v>
      </c>
      <c r="B765" s="7" t="s">
        <v>212</v>
      </c>
      <c r="C765" s="7" t="s">
        <v>240</v>
      </c>
      <c r="D765" s="7">
        <v>2761</v>
      </c>
      <c r="E765" s="27">
        <v>260</v>
      </c>
      <c r="F765" s="27">
        <v>12</v>
      </c>
      <c r="G765" s="27">
        <v>33132</v>
      </c>
      <c r="H765" s="27">
        <v>29156.16</v>
      </c>
      <c r="I765" s="27">
        <v>20873.16</v>
      </c>
      <c r="J765" s="7" t="s">
        <v>233</v>
      </c>
    </row>
    <row r="766" spans="1:10" x14ac:dyDescent="0.25">
      <c r="A766" s="7" t="s">
        <v>216</v>
      </c>
      <c r="B766" s="7" t="s">
        <v>230</v>
      </c>
      <c r="C766" s="7" t="s">
        <v>213</v>
      </c>
      <c r="D766" s="7">
        <v>2567</v>
      </c>
      <c r="E766" s="27">
        <v>3</v>
      </c>
      <c r="F766" s="27">
        <v>15</v>
      </c>
      <c r="G766" s="27">
        <v>38505</v>
      </c>
      <c r="H766" s="27">
        <v>33499.35</v>
      </c>
      <c r="I766" s="27">
        <v>7829.3499999999985</v>
      </c>
      <c r="J766" s="7" t="s">
        <v>218</v>
      </c>
    </row>
    <row r="767" spans="1:10" x14ac:dyDescent="0.25">
      <c r="A767" s="7" t="s">
        <v>216</v>
      </c>
      <c r="B767" s="7" t="s">
        <v>230</v>
      </c>
      <c r="C767" s="7" t="s">
        <v>238</v>
      </c>
      <c r="D767" s="7">
        <v>2567</v>
      </c>
      <c r="E767" s="27">
        <v>250</v>
      </c>
      <c r="F767" s="27">
        <v>15</v>
      </c>
      <c r="G767" s="27">
        <v>38505</v>
      </c>
      <c r="H767" s="27">
        <v>33499.35</v>
      </c>
      <c r="I767" s="27">
        <v>7829.3499999999985</v>
      </c>
      <c r="J767" s="7" t="s">
        <v>218</v>
      </c>
    </row>
    <row r="768" spans="1:10" hidden="1" x14ac:dyDescent="0.25">
      <c r="A768" s="7" t="s">
        <v>211</v>
      </c>
      <c r="B768" s="7" t="s">
        <v>212</v>
      </c>
      <c r="C768" s="7" t="s">
        <v>213</v>
      </c>
      <c r="D768" s="7">
        <v>923</v>
      </c>
      <c r="E768" s="27">
        <v>3</v>
      </c>
      <c r="F768" s="27">
        <v>350</v>
      </c>
      <c r="G768" s="27">
        <v>323050</v>
      </c>
      <c r="H768" s="27">
        <v>281053.5</v>
      </c>
      <c r="I768" s="27">
        <v>41073.5</v>
      </c>
      <c r="J768" s="7" t="s">
        <v>222</v>
      </c>
    </row>
    <row r="769" spans="1:10" hidden="1" x14ac:dyDescent="0.25">
      <c r="A769" s="7" t="s">
        <v>211</v>
      </c>
      <c r="B769" s="7" t="s">
        <v>217</v>
      </c>
      <c r="C769" s="7" t="s">
        <v>213</v>
      </c>
      <c r="D769" s="7">
        <v>1790</v>
      </c>
      <c r="E769" s="27">
        <v>3</v>
      </c>
      <c r="F769" s="27">
        <v>350</v>
      </c>
      <c r="G769" s="27">
        <v>626500</v>
      </c>
      <c r="H769" s="27">
        <v>545055</v>
      </c>
      <c r="I769" s="27">
        <v>79655</v>
      </c>
      <c r="J769" s="7" t="s">
        <v>222</v>
      </c>
    </row>
    <row r="770" spans="1:10" hidden="1" x14ac:dyDescent="0.25">
      <c r="A770" s="7" t="s">
        <v>211</v>
      </c>
      <c r="B770" s="7" t="s">
        <v>215</v>
      </c>
      <c r="C770" s="7" t="s">
        <v>213</v>
      </c>
      <c r="D770" s="7">
        <v>442</v>
      </c>
      <c r="E770" s="27">
        <v>3</v>
      </c>
      <c r="F770" s="27">
        <v>20</v>
      </c>
      <c r="G770" s="27">
        <v>8840</v>
      </c>
      <c r="H770" s="27">
        <v>7690.8</v>
      </c>
      <c r="I770" s="27">
        <v>3270.8</v>
      </c>
      <c r="J770" s="7" t="s">
        <v>233</v>
      </c>
    </row>
    <row r="771" spans="1:10" x14ac:dyDescent="0.25">
      <c r="A771" s="7" t="s">
        <v>211</v>
      </c>
      <c r="B771" s="7" t="s">
        <v>230</v>
      </c>
      <c r="C771" s="7" t="s">
        <v>221</v>
      </c>
      <c r="D771" s="7">
        <v>982.5</v>
      </c>
      <c r="E771" s="27">
        <v>5</v>
      </c>
      <c r="F771" s="27">
        <v>350</v>
      </c>
      <c r="G771" s="27">
        <v>343875</v>
      </c>
      <c r="H771" s="27">
        <v>299171.25</v>
      </c>
      <c r="I771" s="27">
        <v>43721.25</v>
      </c>
      <c r="J771" s="7" t="s">
        <v>214</v>
      </c>
    </row>
    <row r="772" spans="1:10" x14ac:dyDescent="0.25">
      <c r="A772" s="7" t="s">
        <v>211</v>
      </c>
      <c r="B772" s="7" t="s">
        <v>230</v>
      </c>
      <c r="C772" s="7" t="s">
        <v>221</v>
      </c>
      <c r="D772" s="7">
        <v>1298</v>
      </c>
      <c r="E772" s="27">
        <v>5</v>
      </c>
      <c r="F772" s="27">
        <v>7</v>
      </c>
      <c r="G772" s="27">
        <v>9086</v>
      </c>
      <c r="H772" s="27">
        <v>7904.82</v>
      </c>
      <c r="I772" s="27">
        <v>1414.8199999999997</v>
      </c>
      <c r="J772" s="7" t="s">
        <v>232</v>
      </c>
    </row>
    <row r="773" spans="1:10" hidden="1" x14ac:dyDescent="0.25">
      <c r="A773" s="7" t="s">
        <v>223</v>
      </c>
      <c r="B773" s="7" t="s">
        <v>219</v>
      </c>
      <c r="C773" s="7" t="s">
        <v>221</v>
      </c>
      <c r="D773" s="7">
        <v>604</v>
      </c>
      <c r="E773" s="27">
        <v>5</v>
      </c>
      <c r="F773" s="27">
        <v>12</v>
      </c>
      <c r="G773" s="27">
        <v>7248</v>
      </c>
      <c r="H773" s="27">
        <v>6305.76</v>
      </c>
      <c r="I773" s="27">
        <v>4493.76</v>
      </c>
      <c r="J773" s="7" t="s">
        <v>218</v>
      </c>
    </row>
    <row r="774" spans="1:10" hidden="1" x14ac:dyDescent="0.25">
      <c r="A774" s="7" t="s">
        <v>211</v>
      </c>
      <c r="B774" s="7" t="s">
        <v>219</v>
      </c>
      <c r="C774" s="7" t="s">
        <v>221</v>
      </c>
      <c r="D774" s="7">
        <v>2255</v>
      </c>
      <c r="E774" s="27">
        <v>5</v>
      </c>
      <c r="F774" s="27">
        <v>20</v>
      </c>
      <c r="G774" s="27">
        <v>45100</v>
      </c>
      <c r="H774" s="27">
        <v>39237</v>
      </c>
      <c r="I774" s="27">
        <v>16687</v>
      </c>
      <c r="J774" s="7" t="s">
        <v>225</v>
      </c>
    </row>
    <row r="775" spans="1:10" hidden="1" x14ac:dyDescent="0.25">
      <c r="A775" s="7" t="s">
        <v>211</v>
      </c>
      <c r="B775" s="7" t="s">
        <v>212</v>
      </c>
      <c r="C775" s="7" t="s">
        <v>221</v>
      </c>
      <c r="D775" s="7">
        <v>1249</v>
      </c>
      <c r="E775" s="27">
        <v>5</v>
      </c>
      <c r="F775" s="27">
        <v>20</v>
      </c>
      <c r="G775" s="27">
        <v>24980</v>
      </c>
      <c r="H775" s="27">
        <v>21732.6</v>
      </c>
      <c r="I775" s="27">
        <v>9242.5999999999985</v>
      </c>
      <c r="J775" s="7" t="s">
        <v>234</v>
      </c>
    </row>
    <row r="776" spans="1:10" x14ac:dyDescent="0.25">
      <c r="A776" s="7" t="s">
        <v>211</v>
      </c>
      <c r="B776" s="7" t="s">
        <v>230</v>
      </c>
      <c r="C776" s="7" t="s">
        <v>231</v>
      </c>
      <c r="D776" s="7">
        <v>1438.5</v>
      </c>
      <c r="E776" s="27">
        <v>10</v>
      </c>
      <c r="F776" s="27">
        <v>7</v>
      </c>
      <c r="G776" s="27">
        <v>10069.5</v>
      </c>
      <c r="H776" s="27">
        <v>8760.4650000000001</v>
      </c>
      <c r="I776" s="27">
        <v>1567.9649999999992</v>
      </c>
      <c r="J776" s="7" t="s">
        <v>214</v>
      </c>
    </row>
    <row r="777" spans="1:10" hidden="1" x14ac:dyDescent="0.25">
      <c r="A777" s="7" t="s">
        <v>226</v>
      </c>
      <c r="B777" s="7" t="s">
        <v>215</v>
      </c>
      <c r="C777" s="7" t="s">
        <v>231</v>
      </c>
      <c r="D777" s="7">
        <v>807</v>
      </c>
      <c r="E777" s="27">
        <v>10</v>
      </c>
      <c r="F777" s="27">
        <v>300</v>
      </c>
      <c r="G777" s="27">
        <v>242100</v>
      </c>
      <c r="H777" s="27">
        <v>210627</v>
      </c>
      <c r="I777" s="27">
        <v>8877</v>
      </c>
      <c r="J777" s="7" t="s">
        <v>214</v>
      </c>
    </row>
    <row r="778" spans="1:10" x14ac:dyDescent="0.25">
      <c r="A778" s="7" t="s">
        <v>211</v>
      </c>
      <c r="B778" s="7" t="s">
        <v>230</v>
      </c>
      <c r="C778" s="7" t="s">
        <v>231</v>
      </c>
      <c r="D778" s="7">
        <v>2641</v>
      </c>
      <c r="E778" s="27">
        <v>10</v>
      </c>
      <c r="F778" s="27">
        <v>20</v>
      </c>
      <c r="G778" s="27">
        <v>52820</v>
      </c>
      <c r="H778" s="27">
        <v>45953.4</v>
      </c>
      <c r="I778" s="27">
        <v>19543.400000000001</v>
      </c>
      <c r="J778" s="7" t="s">
        <v>232</v>
      </c>
    </row>
    <row r="779" spans="1:10" hidden="1" x14ac:dyDescent="0.25">
      <c r="A779" s="7" t="s">
        <v>211</v>
      </c>
      <c r="B779" s="7" t="s">
        <v>215</v>
      </c>
      <c r="C779" s="7" t="s">
        <v>231</v>
      </c>
      <c r="D779" s="7">
        <v>2708</v>
      </c>
      <c r="E779" s="27">
        <v>10</v>
      </c>
      <c r="F779" s="27">
        <v>20</v>
      </c>
      <c r="G779" s="27">
        <v>54160</v>
      </c>
      <c r="H779" s="27">
        <v>47119.199999999997</v>
      </c>
      <c r="I779" s="27">
        <v>20039.199999999997</v>
      </c>
      <c r="J779" s="7" t="s">
        <v>232</v>
      </c>
    </row>
    <row r="780" spans="1:10" hidden="1" x14ac:dyDescent="0.25">
      <c r="A780" s="7" t="s">
        <v>211</v>
      </c>
      <c r="B780" s="7" t="s">
        <v>212</v>
      </c>
      <c r="C780" s="7" t="s">
        <v>231</v>
      </c>
      <c r="D780" s="7">
        <v>2632</v>
      </c>
      <c r="E780" s="27">
        <v>10</v>
      </c>
      <c r="F780" s="27">
        <v>350</v>
      </c>
      <c r="G780" s="27">
        <v>921200</v>
      </c>
      <c r="H780" s="27">
        <v>801444</v>
      </c>
      <c r="I780" s="27">
        <v>117124</v>
      </c>
      <c r="J780" s="7" t="s">
        <v>218</v>
      </c>
    </row>
    <row r="781" spans="1:10" hidden="1" x14ac:dyDescent="0.25">
      <c r="A781" s="7" t="s">
        <v>224</v>
      </c>
      <c r="B781" s="7" t="s">
        <v>212</v>
      </c>
      <c r="C781" s="7" t="s">
        <v>231</v>
      </c>
      <c r="D781" s="7">
        <v>1583</v>
      </c>
      <c r="E781" s="27">
        <v>10</v>
      </c>
      <c r="F781" s="27">
        <v>125</v>
      </c>
      <c r="G781" s="27">
        <v>197875</v>
      </c>
      <c r="H781" s="27">
        <v>172151.25</v>
      </c>
      <c r="I781" s="27">
        <v>-17808.75</v>
      </c>
      <c r="J781" s="7" t="s">
        <v>218</v>
      </c>
    </row>
    <row r="782" spans="1:10" hidden="1" x14ac:dyDescent="0.25">
      <c r="A782" s="7" t="s">
        <v>223</v>
      </c>
      <c r="B782" s="7" t="s">
        <v>219</v>
      </c>
      <c r="C782" s="7" t="s">
        <v>231</v>
      </c>
      <c r="D782" s="7">
        <v>571</v>
      </c>
      <c r="E782" s="27">
        <v>10</v>
      </c>
      <c r="F782" s="27">
        <v>12</v>
      </c>
      <c r="G782" s="27">
        <v>6852</v>
      </c>
      <c r="H782" s="27">
        <v>5961.24</v>
      </c>
      <c r="I782" s="27">
        <v>4248.24</v>
      </c>
      <c r="J782" s="7" t="s">
        <v>225</v>
      </c>
    </row>
    <row r="783" spans="1:10" hidden="1" x14ac:dyDescent="0.25">
      <c r="A783" s="7" t="s">
        <v>211</v>
      </c>
      <c r="B783" s="7" t="s">
        <v>217</v>
      </c>
      <c r="C783" s="7" t="s">
        <v>231</v>
      </c>
      <c r="D783" s="7">
        <v>2696</v>
      </c>
      <c r="E783" s="27">
        <v>10</v>
      </c>
      <c r="F783" s="27">
        <v>7</v>
      </c>
      <c r="G783" s="27">
        <v>18872</v>
      </c>
      <c r="H783" s="27">
        <v>16418.64</v>
      </c>
      <c r="I783" s="27">
        <v>2938.6399999999994</v>
      </c>
      <c r="J783" s="7" t="s">
        <v>227</v>
      </c>
    </row>
    <row r="784" spans="1:10" hidden="1" x14ac:dyDescent="0.25">
      <c r="A784" s="7" t="s">
        <v>216</v>
      </c>
      <c r="B784" s="7" t="s">
        <v>212</v>
      </c>
      <c r="C784" s="7" t="s">
        <v>231</v>
      </c>
      <c r="D784" s="7">
        <v>1565</v>
      </c>
      <c r="E784" s="27">
        <v>10</v>
      </c>
      <c r="F784" s="27">
        <v>15</v>
      </c>
      <c r="G784" s="27">
        <v>23475</v>
      </c>
      <c r="H784" s="27">
        <v>20423.25</v>
      </c>
      <c r="I784" s="27">
        <v>4773.25</v>
      </c>
      <c r="J784" s="7" t="s">
        <v>234</v>
      </c>
    </row>
    <row r="785" spans="1:10" hidden="1" x14ac:dyDescent="0.25">
      <c r="A785" s="7" t="s">
        <v>211</v>
      </c>
      <c r="B785" s="7" t="s">
        <v>212</v>
      </c>
      <c r="C785" s="7" t="s">
        <v>231</v>
      </c>
      <c r="D785" s="7">
        <v>1249</v>
      </c>
      <c r="E785" s="27">
        <v>10</v>
      </c>
      <c r="F785" s="27">
        <v>20</v>
      </c>
      <c r="G785" s="27">
        <v>24980</v>
      </c>
      <c r="H785" s="27">
        <v>21732.6</v>
      </c>
      <c r="I785" s="27">
        <v>9242.5999999999985</v>
      </c>
      <c r="J785" s="7" t="s">
        <v>234</v>
      </c>
    </row>
    <row r="786" spans="1:10" hidden="1" x14ac:dyDescent="0.25">
      <c r="A786" s="7" t="s">
        <v>211</v>
      </c>
      <c r="B786" s="7" t="s">
        <v>215</v>
      </c>
      <c r="C786" s="7" t="s">
        <v>231</v>
      </c>
      <c r="D786" s="7">
        <v>357</v>
      </c>
      <c r="E786" s="27">
        <v>10</v>
      </c>
      <c r="F786" s="27">
        <v>350</v>
      </c>
      <c r="G786" s="27">
        <v>124950</v>
      </c>
      <c r="H786" s="27">
        <v>108706.5</v>
      </c>
      <c r="I786" s="27">
        <v>15886.5</v>
      </c>
      <c r="J786" s="7" t="s">
        <v>242</v>
      </c>
    </row>
    <row r="787" spans="1:10" hidden="1" x14ac:dyDescent="0.25">
      <c r="A787" s="7" t="s">
        <v>223</v>
      </c>
      <c r="B787" s="7" t="s">
        <v>215</v>
      </c>
      <c r="C787" s="7" t="s">
        <v>231</v>
      </c>
      <c r="D787" s="7">
        <v>1013</v>
      </c>
      <c r="E787" s="27">
        <v>10</v>
      </c>
      <c r="F787" s="27">
        <v>12</v>
      </c>
      <c r="G787" s="27">
        <v>12156</v>
      </c>
      <c r="H787" s="27">
        <v>10575.72</v>
      </c>
      <c r="I787" s="27">
        <v>7536.7199999999993</v>
      </c>
      <c r="J787" s="7" t="s">
        <v>220</v>
      </c>
    </row>
    <row r="788" spans="1:10" hidden="1" x14ac:dyDescent="0.25">
      <c r="A788" s="7" t="s">
        <v>216</v>
      </c>
      <c r="B788" s="7" t="s">
        <v>217</v>
      </c>
      <c r="C788" s="7" t="s">
        <v>237</v>
      </c>
      <c r="D788" s="7">
        <v>3997.5</v>
      </c>
      <c r="E788" s="27">
        <v>120</v>
      </c>
      <c r="F788" s="27">
        <v>15</v>
      </c>
      <c r="G788" s="27">
        <v>59962.5</v>
      </c>
      <c r="H788" s="27">
        <v>52167.375</v>
      </c>
      <c r="I788" s="27">
        <v>12192.375</v>
      </c>
      <c r="J788" s="7" t="s">
        <v>214</v>
      </c>
    </row>
    <row r="789" spans="1:10" hidden="1" x14ac:dyDescent="0.25">
      <c r="A789" s="7" t="s">
        <v>211</v>
      </c>
      <c r="B789" s="7" t="s">
        <v>212</v>
      </c>
      <c r="C789" s="7" t="s">
        <v>237</v>
      </c>
      <c r="D789" s="7">
        <v>2632</v>
      </c>
      <c r="E789" s="27">
        <v>120</v>
      </c>
      <c r="F789" s="27">
        <v>350</v>
      </c>
      <c r="G789" s="27">
        <v>921200</v>
      </c>
      <c r="H789" s="27">
        <v>801444</v>
      </c>
      <c r="I789" s="27">
        <v>117124</v>
      </c>
      <c r="J789" s="7" t="s">
        <v>218</v>
      </c>
    </row>
    <row r="790" spans="1:10" hidden="1" x14ac:dyDescent="0.25">
      <c r="A790" s="7" t="s">
        <v>211</v>
      </c>
      <c r="B790" s="7" t="s">
        <v>217</v>
      </c>
      <c r="C790" s="7" t="s">
        <v>237</v>
      </c>
      <c r="D790" s="7">
        <v>1190</v>
      </c>
      <c r="E790" s="27">
        <v>120</v>
      </c>
      <c r="F790" s="27">
        <v>7</v>
      </c>
      <c r="G790" s="27">
        <v>8330</v>
      </c>
      <c r="H790" s="27">
        <v>7247.1</v>
      </c>
      <c r="I790" s="27">
        <v>1297.1000000000004</v>
      </c>
      <c r="J790" s="7" t="s">
        <v>218</v>
      </c>
    </row>
    <row r="791" spans="1:10" hidden="1" x14ac:dyDescent="0.25">
      <c r="A791" s="7" t="s">
        <v>223</v>
      </c>
      <c r="B791" s="7" t="s">
        <v>219</v>
      </c>
      <c r="C791" s="7" t="s">
        <v>237</v>
      </c>
      <c r="D791" s="7">
        <v>604</v>
      </c>
      <c r="E791" s="27">
        <v>120</v>
      </c>
      <c r="F791" s="27">
        <v>12</v>
      </c>
      <c r="G791" s="27">
        <v>7248</v>
      </c>
      <c r="H791" s="27">
        <v>6305.76</v>
      </c>
      <c r="I791" s="27">
        <v>4493.76</v>
      </c>
      <c r="J791" s="7" t="s">
        <v>218</v>
      </c>
    </row>
    <row r="792" spans="1:10" hidden="1" x14ac:dyDescent="0.25">
      <c r="A792" s="7" t="s">
        <v>216</v>
      </c>
      <c r="B792" s="7" t="s">
        <v>215</v>
      </c>
      <c r="C792" s="7" t="s">
        <v>237</v>
      </c>
      <c r="D792" s="7">
        <v>660</v>
      </c>
      <c r="E792" s="27">
        <v>120</v>
      </c>
      <c r="F792" s="27">
        <v>15</v>
      </c>
      <c r="G792" s="27">
        <v>9900</v>
      </c>
      <c r="H792" s="27">
        <v>8613</v>
      </c>
      <c r="I792" s="27">
        <v>2013</v>
      </c>
      <c r="J792" s="7" t="s">
        <v>233</v>
      </c>
    </row>
    <row r="793" spans="1:10" hidden="1" x14ac:dyDescent="0.25">
      <c r="A793" s="7" t="s">
        <v>223</v>
      </c>
      <c r="B793" s="7" t="s">
        <v>219</v>
      </c>
      <c r="C793" s="7" t="s">
        <v>237</v>
      </c>
      <c r="D793" s="7">
        <v>410</v>
      </c>
      <c r="E793" s="27">
        <v>120</v>
      </c>
      <c r="F793" s="27">
        <v>12</v>
      </c>
      <c r="G793" s="27">
        <v>4920</v>
      </c>
      <c r="H793" s="27">
        <v>4280.3999999999996</v>
      </c>
      <c r="I793" s="27">
        <v>3050.3999999999996</v>
      </c>
      <c r="J793" s="7" t="s">
        <v>234</v>
      </c>
    </row>
    <row r="794" spans="1:10" hidden="1" x14ac:dyDescent="0.25">
      <c r="A794" s="7" t="s">
        <v>226</v>
      </c>
      <c r="B794" s="7" t="s">
        <v>219</v>
      </c>
      <c r="C794" s="7" t="s">
        <v>237</v>
      </c>
      <c r="D794" s="7">
        <v>2605</v>
      </c>
      <c r="E794" s="27">
        <v>120</v>
      </c>
      <c r="F794" s="27">
        <v>300</v>
      </c>
      <c r="G794" s="27">
        <v>781500</v>
      </c>
      <c r="H794" s="27">
        <v>679905</v>
      </c>
      <c r="I794" s="27">
        <v>28655</v>
      </c>
      <c r="J794" s="7" t="s">
        <v>235</v>
      </c>
    </row>
    <row r="795" spans="1:10" hidden="1" x14ac:dyDescent="0.25">
      <c r="A795" s="7" t="s">
        <v>223</v>
      </c>
      <c r="B795" s="7" t="s">
        <v>215</v>
      </c>
      <c r="C795" s="7" t="s">
        <v>237</v>
      </c>
      <c r="D795" s="7">
        <v>1013</v>
      </c>
      <c r="E795" s="27">
        <v>120</v>
      </c>
      <c r="F795" s="27">
        <v>12</v>
      </c>
      <c r="G795" s="27">
        <v>12156</v>
      </c>
      <c r="H795" s="27">
        <v>10575.72</v>
      </c>
      <c r="I795" s="27">
        <v>7536.7199999999993</v>
      </c>
      <c r="J795" s="7" t="s">
        <v>220</v>
      </c>
    </row>
    <row r="796" spans="1:10" hidden="1" x14ac:dyDescent="0.25">
      <c r="A796" s="7" t="s">
        <v>224</v>
      </c>
      <c r="B796" s="7" t="s">
        <v>212</v>
      </c>
      <c r="C796" s="7" t="s">
        <v>238</v>
      </c>
      <c r="D796" s="7">
        <v>1583</v>
      </c>
      <c r="E796" s="27">
        <v>250</v>
      </c>
      <c r="F796" s="27">
        <v>125</v>
      </c>
      <c r="G796" s="27">
        <v>197875</v>
      </c>
      <c r="H796" s="27">
        <v>172151.25</v>
      </c>
      <c r="I796" s="27">
        <v>-17808.75</v>
      </c>
      <c r="J796" s="7" t="s">
        <v>218</v>
      </c>
    </row>
    <row r="797" spans="1:10" hidden="1" x14ac:dyDescent="0.25">
      <c r="A797" s="7" t="s">
        <v>216</v>
      </c>
      <c r="B797" s="7" t="s">
        <v>212</v>
      </c>
      <c r="C797" s="7" t="s">
        <v>238</v>
      </c>
      <c r="D797" s="7">
        <v>1565</v>
      </c>
      <c r="E797" s="27">
        <v>250</v>
      </c>
      <c r="F797" s="27">
        <v>15</v>
      </c>
      <c r="G797" s="27">
        <v>23475</v>
      </c>
      <c r="H797" s="27">
        <v>20423.25</v>
      </c>
      <c r="I797" s="27">
        <v>4773.25</v>
      </c>
      <c r="J797" s="7" t="s">
        <v>234</v>
      </c>
    </row>
    <row r="798" spans="1:10" hidden="1" x14ac:dyDescent="0.25">
      <c r="A798" s="7" t="s">
        <v>224</v>
      </c>
      <c r="B798" s="7" t="s">
        <v>212</v>
      </c>
      <c r="C798" s="7" t="s">
        <v>240</v>
      </c>
      <c r="D798" s="7">
        <v>1659</v>
      </c>
      <c r="E798" s="27">
        <v>260</v>
      </c>
      <c r="F798" s="27">
        <v>125</v>
      </c>
      <c r="G798" s="27">
        <v>207375</v>
      </c>
      <c r="H798" s="27">
        <v>180416.25</v>
      </c>
      <c r="I798" s="27">
        <v>-18663.75</v>
      </c>
      <c r="J798" s="7" t="s">
        <v>214</v>
      </c>
    </row>
    <row r="799" spans="1:10" hidden="1" x14ac:dyDescent="0.25">
      <c r="A799" s="7" t="s">
        <v>211</v>
      </c>
      <c r="B799" s="7" t="s">
        <v>217</v>
      </c>
      <c r="C799" s="7" t="s">
        <v>240</v>
      </c>
      <c r="D799" s="7">
        <v>1190</v>
      </c>
      <c r="E799" s="27">
        <v>260</v>
      </c>
      <c r="F799" s="27">
        <v>7</v>
      </c>
      <c r="G799" s="27">
        <v>8330</v>
      </c>
      <c r="H799" s="27">
        <v>7247.1</v>
      </c>
      <c r="I799" s="27">
        <v>1297.1000000000004</v>
      </c>
      <c r="J799" s="7" t="s">
        <v>218</v>
      </c>
    </row>
    <row r="800" spans="1:10" hidden="1" x14ac:dyDescent="0.25">
      <c r="A800" s="7" t="s">
        <v>223</v>
      </c>
      <c r="B800" s="7" t="s">
        <v>219</v>
      </c>
      <c r="C800" s="7" t="s">
        <v>240</v>
      </c>
      <c r="D800" s="7">
        <v>410</v>
      </c>
      <c r="E800" s="27">
        <v>260</v>
      </c>
      <c r="F800" s="27">
        <v>12</v>
      </c>
      <c r="G800" s="27">
        <v>4920</v>
      </c>
      <c r="H800" s="27">
        <v>4280.3999999999996</v>
      </c>
      <c r="I800" s="27">
        <v>3050.3999999999996</v>
      </c>
      <c r="J800" s="7" t="s">
        <v>234</v>
      </c>
    </row>
    <row r="801" spans="1:10" hidden="1" x14ac:dyDescent="0.25">
      <c r="A801" s="7" t="s">
        <v>223</v>
      </c>
      <c r="B801" s="7" t="s">
        <v>215</v>
      </c>
      <c r="C801" s="7" t="s">
        <v>240</v>
      </c>
      <c r="D801" s="7">
        <v>1770</v>
      </c>
      <c r="E801" s="27">
        <v>260</v>
      </c>
      <c r="F801" s="27">
        <v>12</v>
      </c>
      <c r="G801" s="27">
        <v>21240</v>
      </c>
      <c r="H801" s="27">
        <v>18478.8</v>
      </c>
      <c r="I801" s="27">
        <v>13168.8</v>
      </c>
      <c r="J801" s="7" t="s">
        <v>236</v>
      </c>
    </row>
    <row r="802" spans="1:10" hidden="1" x14ac:dyDescent="0.25">
      <c r="A802" s="7" t="s">
        <v>211</v>
      </c>
      <c r="B802" s="7" t="s">
        <v>219</v>
      </c>
      <c r="C802" s="7" t="s">
        <v>213</v>
      </c>
      <c r="D802" s="7">
        <v>2579</v>
      </c>
      <c r="E802" s="27">
        <v>3</v>
      </c>
      <c r="F802" s="27">
        <v>20</v>
      </c>
      <c r="G802" s="27">
        <v>51580</v>
      </c>
      <c r="H802" s="27">
        <v>44358.8</v>
      </c>
      <c r="I802" s="27">
        <v>18568.800000000003</v>
      </c>
      <c r="J802" s="7" t="s">
        <v>239</v>
      </c>
    </row>
    <row r="803" spans="1:10" x14ac:dyDescent="0.25">
      <c r="A803" s="7" t="s">
        <v>211</v>
      </c>
      <c r="B803" s="7" t="s">
        <v>230</v>
      </c>
      <c r="C803" s="7" t="s">
        <v>213</v>
      </c>
      <c r="D803" s="7">
        <v>1743</v>
      </c>
      <c r="E803" s="27">
        <v>3</v>
      </c>
      <c r="F803" s="27">
        <v>20</v>
      </c>
      <c r="G803" s="27">
        <v>34860</v>
      </c>
      <c r="H803" s="27">
        <v>29979.599999999999</v>
      </c>
      <c r="I803" s="27">
        <v>12549.599999999999</v>
      </c>
      <c r="J803" s="7" t="s">
        <v>241</v>
      </c>
    </row>
    <row r="804" spans="1:10" x14ac:dyDescent="0.25">
      <c r="A804" s="7" t="s">
        <v>211</v>
      </c>
      <c r="B804" s="7" t="s">
        <v>230</v>
      </c>
      <c r="C804" s="7" t="s">
        <v>213</v>
      </c>
      <c r="D804" s="7">
        <v>2996</v>
      </c>
      <c r="E804" s="27">
        <v>3</v>
      </c>
      <c r="F804" s="27">
        <v>7</v>
      </c>
      <c r="G804" s="27">
        <v>20972</v>
      </c>
      <c r="H804" s="27">
        <v>18035.919999999998</v>
      </c>
      <c r="I804" s="27">
        <v>3055.9199999999983</v>
      </c>
      <c r="J804" s="7" t="s">
        <v>229</v>
      </c>
    </row>
    <row r="805" spans="1:10" hidden="1" x14ac:dyDescent="0.25">
      <c r="A805" s="7" t="s">
        <v>211</v>
      </c>
      <c r="B805" s="7" t="s">
        <v>215</v>
      </c>
      <c r="C805" s="7" t="s">
        <v>213</v>
      </c>
      <c r="D805" s="7">
        <v>280</v>
      </c>
      <c r="E805" s="27">
        <v>3</v>
      </c>
      <c r="F805" s="27">
        <v>7</v>
      </c>
      <c r="G805" s="27">
        <v>1960</v>
      </c>
      <c r="H805" s="27">
        <v>1685.6</v>
      </c>
      <c r="I805" s="27">
        <v>285.59999999999991</v>
      </c>
      <c r="J805" s="7" t="s">
        <v>220</v>
      </c>
    </row>
    <row r="806" spans="1:10" hidden="1" x14ac:dyDescent="0.25">
      <c r="A806" s="7" t="s">
        <v>211</v>
      </c>
      <c r="B806" s="7" t="s">
        <v>217</v>
      </c>
      <c r="C806" s="7" t="s">
        <v>221</v>
      </c>
      <c r="D806" s="7">
        <v>293</v>
      </c>
      <c r="E806" s="27">
        <v>5</v>
      </c>
      <c r="F806" s="27">
        <v>7</v>
      </c>
      <c r="G806" s="27">
        <v>2051</v>
      </c>
      <c r="H806" s="27">
        <v>1763.8600000000001</v>
      </c>
      <c r="I806" s="27">
        <v>298.86000000000013</v>
      </c>
      <c r="J806" s="7" t="s">
        <v>232</v>
      </c>
    </row>
    <row r="807" spans="1:10" x14ac:dyDescent="0.25">
      <c r="A807" s="7" t="s">
        <v>211</v>
      </c>
      <c r="B807" s="7" t="s">
        <v>230</v>
      </c>
      <c r="C807" s="7" t="s">
        <v>221</v>
      </c>
      <c r="D807" s="7">
        <v>2996</v>
      </c>
      <c r="E807" s="27">
        <v>5</v>
      </c>
      <c r="F807" s="27">
        <v>7</v>
      </c>
      <c r="G807" s="27">
        <v>20972</v>
      </c>
      <c r="H807" s="27">
        <v>18035.919999999998</v>
      </c>
      <c r="I807" s="27">
        <v>3055.9199999999983</v>
      </c>
      <c r="J807" s="7" t="s">
        <v>229</v>
      </c>
    </row>
    <row r="808" spans="1:10" hidden="1" x14ac:dyDescent="0.25">
      <c r="A808" s="7" t="s">
        <v>216</v>
      </c>
      <c r="B808" s="7" t="s">
        <v>215</v>
      </c>
      <c r="C808" s="7" t="s">
        <v>231</v>
      </c>
      <c r="D808" s="7">
        <v>278</v>
      </c>
      <c r="E808" s="27">
        <v>10</v>
      </c>
      <c r="F808" s="27">
        <v>15</v>
      </c>
      <c r="G808" s="27">
        <v>4170</v>
      </c>
      <c r="H808" s="27">
        <v>3586.2</v>
      </c>
      <c r="I808" s="27">
        <v>806.19999999999982</v>
      </c>
      <c r="J808" s="7" t="s">
        <v>232</v>
      </c>
    </row>
    <row r="809" spans="1:10" hidden="1" x14ac:dyDescent="0.25">
      <c r="A809" s="7" t="s">
        <v>211</v>
      </c>
      <c r="B809" s="7" t="s">
        <v>212</v>
      </c>
      <c r="C809" s="7" t="s">
        <v>231</v>
      </c>
      <c r="D809" s="7">
        <v>2428</v>
      </c>
      <c r="E809" s="27">
        <v>10</v>
      </c>
      <c r="F809" s="27">
        <v>20</v>
      </c>
      <c r="G809" s="27">
        <v>48560</v>
      </c>
      <c r="H809" s="27">
        <v>41761.599999999999</v>
      </c>
      <c r="I809" s="27">
        <v>17481.599999999999</v>
      </c>
      <c r="J809" s="7" t="s">
        <v>222</v>
      </c>
    </row>
    <row r="810" spans="1:10" x14ac:dyDescent="0.25">
      <c r="A810" s="7" t="s">
        <v>216</v>
      </c>
      <c r="B810" s="7" t="s">
        <v>230</v>
      </c>
      <c r="C810" s="7" t="s">
        <v>231</v>
      </c>
      <c r="D810" s="7">
        <v>1767</v>
      </c>
      <c r="E810" s="27">
        <v>10</v>
      </c>
      <c r="F810" s="27">
        <v>15</v>
      </c>
      <c r="G810" s="27">
        <v>26505</v>
      </c>
      <c r="H810" s="27">
        <v>22794.3</v>
      </c>
      <c r="I810" s="27">
        <v>5124.2999999999993</v>
      </c>
      <c r="J810" s="7" t="s">
        <v>228</v>
      </c>
    </row>
    <row r="811" spans="1:10" hidden="1" x14ac:dyDescent="0.25">
      <c r="A811" s="7" t="s">
        <v>223</v>
      </c>
      <c r="B811" s="7" t="s">
        <v>217</v>
      </c>
      <c r="C811" s="7" t="s">
        <v>231</v>
      </c>
      <c r="D811" s="7">
        <v>1393</v>
      </c>
      <c r="E811" s="27">
        <v>10</v>
      </c>
      <c r="F811" s="27">
        <v>12</v>
      </c>
      <c r="G811" s="27">
        <v>16716</v>
      </c>
      <c r="H811" s="27">
        <v>14375.76</v>
      </c>
      <c r="I811" s="27">
        <v>10196.76</v>
      </c>
      <c r="J811" s="7" t="s">
        <v>234</v>
      </c>
    </row>
    <row r="812" spans="1:10" hidden="1" x14ac:dyDescent="0.25">
      <c r="A812" s="7" t="s">
        <v>211</v>
      </c>
      <c r="B812" s="7" t="s">
        <v>215</v>
      </c>
      <c r="C812" s="7" t="s">
        <v>238</v>
      </c>
      <c r="D812" s="7">
        <v>280</v>
      </c>
      <c r="E812" s="27">
        <v>250</v>
      </c>
      <c r="F812" s="27">
        <v>7</v>
      </c>
      <c r="G812" s="27">
        <v>1960</v>
      </c>
      <c r="H812" s="27">
        <v>1685.6</v>
      </c>
      <c r="I812" s="27">
        <v>285.59999999999991</v>
      </c>
      <c r="J812" s="7" t="s">
        <v>220</v>
      </c>
    </row>
    <row r="813" spans="1:10" hidden="1" x14ac:dyDescent="0.25">
      <c r="A813" s="7" t="s">
        <v>223</v>
      </c>
      <c r="B813" s="7" t="s">
        <v>217</v>
      </c>
      <c r="C813" s="7" t="s">
        <v>240</v>
      </c>
      <c r="D813" s="7">
        <v>1393</v>
      </c>
      <c r="E813" s="27">
        <v>260</v>
      </c>
      <c r="F813" s="27">
        <v>12</v>
      </c>
      <c r="G813" s="27">
        <v>16716</v>
      </c>
      <c r="H813" s="27">
        <v>14375.76</v>
      </c>
      <c r="I813" s="27">
        <v>10196.76</v>
      </c>
      <c r="J813" s="7" t="s">
        <v>234</v>
      </c>
    </row>
    <row r="814" spans="1:10" x14ac:dyDescent="0.25">
      <c r="A814" s="7" t="s">
        <v>223</v>
      </c>
      <c r="B814" s="7" t="s">
        <v>230</v>
      </c>
      <c r="C814" s="7" t="s">
        <v>240</v>
      </c>
      <c r="D814" s="7">
        <v>2015</v>
      </c>
      <c r="E814" s="27">
        <v>260</v>
      </c>
      <c r="F814" s="27">
        <v>12</v>
      </c>
      <c r="G814" s="27">
        <v>24180</v>
      </c>
      <c r="H814" s="27">
        <v>20794.8</v>
      </c>
      <c r="I814" s="27">
        <v>14749.8</v>
      </c>
      <c r="J814" s="7" t="s">
        <v>236</v>
      </c>
    </row>
    <row r="815" spans="1:10" hidden="1" x14ac:dyDescent="0.25">
      <c r="A815" s="7" t="s">
        <v>226</v>
      </c>
      <c r="B815" s="7" t="s">
        <v>219</v>
      </c>
      <c r="C815" s="7" t="s">
        <v>213</v>
      </c>
      <c r="D815" s="7">
        <v>801</v>
      </c>
      <c r="E815" s="27">
        <v>3</v>
      </c>
      <c r="F815" s="27">
        <v>300</v>
      </c>
      <c r="G815" s="27">
        <v>240300</v>
      </c>
      <c r="H815" s="27">
        <v>206658</v>
      </c>
      <c r="I815" s="27">
        <v>6408</v>
      </c>
      <c r="J815" s="7" t="s">
        <v>225</v>
      </c>
    </row>
    <row r="816" spans="1:10" hidden="1" x14ac:dyDescent="0.25">
      <c r="A816" s="7" t="s">
        <v>224</v>
      </c>
      <c r="B816" s="7" t="s">
        <v>217</v>
      </c>
      <c r="C816" s="7" t="s">
        <v>213</v>
      </c>
      <c r="D816" s="7">
        <v>1023</v>
      </c>
      <c r="E816" s="27">
        <v>3</v>
      </c>
      <c r="F816" s="27">
        <v>125</v>
      </c>
      <c r="G816" s="27">
        <v>127875</v>
      </c>
      <c r="H816" s="27">
        <v>109972.5</v>
      </c>
      <c r="I816" s="27">
        <v>-12787.5</v>
      </c>
      <c r="J816" s="7" t="s">
        <v>233</v>
      </c>
    </row>
    <row r="817" spans="1:10" hidden="1" x14ac:dyDescent="0.25">
      <c r="A817" s="7" t="s">
        <v>226</v>
      </c>
      <c r="B817" s="7" t="s">
        <v>212</v>
      </c>
      <c r="C817" s="7" t="s">
        <v>213</v>
      </c>
      <c r="D817" s="7">
        <v>1496</v>
      </c>
      <c r="E817" s="27">
        <v>3</v>
      </c>
      <c r="F817" s="27">
        <v>300</v>
      </c>
      <c r="G817" s="27">
        <v>448800</v>
      </c>
      <c r="H817" s="27">
        <v>385968</v>
      </c>
      <c r="I817" s="27">
        <v>11968</v>
      </c>
      <c r="J817" s="7" t="s">
        <v>234</v>
      </c>
    </row>
    <row r="818" spans="1:10" x14ac:dyDescent="0.25">
      <c r="A818" s="7" t="s">
        <v>226</v>
      </c>
      <c r="B818" s="7" t="s">
        <v>230</v>
      </c>
      <c r="C818" s="7" t="s">
        <v>213</v>
      </c>
      <c r="D818" s="7">
        <v>1010</v>
      </c>
      <c r="E818" s="27">
        <v>3</v>
      </c>
      <c r="F818" s="27">
        <v>300</v>
      </c>
      <c r="G818" s="27">
        <v>303000</v>
      </c>
      <c r="H818" s="27">
        <v>260580</v>
      </c>
      <c r="I818" s="27">
        <v>8080</v>
      </c>
      <c r="J818" s="7" t="s">
        <v>234</v>
      </c>
    </row>
    <row r="819" spans="1:10" hidden="1" x14ac:dyDescent="0.25">
      <c r="A819" s="7" t="s">
        <v>216</v>
      </c>
      <c r="B819" s="7" t="s">
        <v>215</v>
      </c>
      <c r="C819" s="7" t="s">
        <v>213</v>
      </c>
      <c r="D819" s="7">
        <v>1513</v>
      </c>
      <c r="E819" s="27">
        <v>3</v>
      </c>
      <c r="F819" s="27">
        <v>15</v>
      </c>
      <c r="G819" s="27">
        <v>22695</v>
      </c>
      <c r="H819" s="27">
        <v>19517.7</v>
      </c>
      <c r="I819" s="27">
        <v>4387.7000000000007</v>
      </c>
      <c r="J819" s="7" t="s">
        <v>242</v>
      </c>
    </row>
    <row r="820" spans="1:10" hidden="1" x14ac:dyDescent="0.25">
      <c r="A820" s="7" t="s">
        <v>216</v>
      </c>
      <c r="B820" s="7" t="s">
        <v>212</v>
      </c>
      <c r="C820" s="7" t="s">
        <v>213</v>
      </c>
      <c r="D820" s="7">
        <v>2300</v>
      </c>
      <c r="E820" s="27">
        <v>3</v>
      </c>
      <c r="F820" s="27">
        <v>15</v>
      </c>
      <c r="G820" s="27">
        <v>34500</v>
      </c>
      <c r="H820" s="27">
        <v>29670</v>
      </c>
      <c r="I820" s="27">
        <v>6670</v>
      </c>
      <c r="J820" s="7" t="s">
        <v>220</v>
      </c>
    </row>
    <row r="821" spans="1:10" hidden="1" x14ac:dyDescent="0.25">
      <c r="A821" s="7" t="s">
        <v>224</v>
      </c>
      <c r="B821" s="7" t="s">
        <v>219</v>
      </c>
      <c r="C821" s="7" t="s">
        <v>213</v>
      </c>
      <c r="D821" s="7">
        <v>2821</v>
      </c>
      <c r="E821" s="27">
        <v>3</v>
      </c>
      <c r="F821" s="27">
        <v>125</v>
      </c>
      <c r="G821" s="27">
        <v>352625</v>
      </c>
      <c r="H821" s="27">
        <v>303257.5</v>
      </c>
      <c r="I821" s="27">
        <v>-35262.5</v>
      </c>
      <c r="J821" s="7" t="s">
        <v>236</v>
      </c>
    </row>
    <row r="822" spans="1:10" hidden="1" x14ac:dyDescent="0.25">
      <c r="A822" s="7" t="s">
        <v>211</v>
      </c>
      <c r="B822" s="7" t="s">
        <v>212</v>
      </c>
      <c r="C822" s="7" t="s">
        <v>221</v>
      </c>
      <c r="D822" s="7">
        <v>2227.5</v>
      </c>
      <c r="E822" s="27">
        <v>5</v>
      </c>
      <c r="F822" s="27">
        <v>350</v>
      </c>
      <c r="G822" s="27">
        <v>779625</v>
      </c>
      <c r="H822" s="27">
        <v>670477.5</v>
      </c>
      <c r="I822" s="27">
        <v>91327.5</v>
      </c>
      <c r="J822" s="7" t="s">
        <v>214</v>
      </c>
    </row>
    <row r="823" spans="1:10" hidden="1" x14ac:dyDescent="0.25">
      <c r="A823" s="7" t="s">
        <v>211</v>
      </c>
      <c r="B823" s="7" t="s">
        <v>215</v>
      </c>
      <c r="C823" s="7" t="s">
        <v>221</v>
      </c>
      <c r="D823" s="7">
        <v>1199</v>
      </c>
      <c r="E823" s="27">
        <v>5</v>
      </c>
      <c r="F823" s="27">
        <v>350</v>
      </c>
      <c r="G823" s="27">
        <v>419650</v>
      </c>
      <c r="H823" s="27">
        <v>360899</v>
      </c>
      <c r="I823" s="27">
        <v>49159</v>
      </c>
      <c r="J823" s="7" t="s">
        <v>239</v>
      </c>
    </row>
    <row r="824" spans="1:10" hidden="1" x14ac:dyDescent="0.25">
      <c r="A824" s="7" t="s">
        <v>211</v>
      </c>
      <c r="B824" s="7" t="s">
        <v>212</v>
      </c>
      <c r="C824" s="7" t="s">
        <v>221</v>
      </c>
      <c r="D824" s="7">
        <v>200</v>
      </c>
      <c r="E824" s="27">
        <v>5</v>
      </c>
      <c r="F824" s="27">
        <v>350</v>
      </c>
      <c r="G824" s="27">
        <v>70000</v>
      </c>
      <c r="H824" s="27">
        <v>60200</v>
      </c>
      <c r="I824" s="27">
        <v>8200</v>
      </c>
      <c r="J824" s="7" t="s">
        <v>241</v>
      </c>
    </row>
    <row r="825" spans="1:10" hidden="1" x14ac:dyDescent="0.25">
      <c r="A825" s="7" t="s">
        <v>211</v>
      </c>
      <c r="B825" s="7" t="s">
        <v>212</v>
      </c>
      <c r="C825" s="7" t="s">
        <v>221</v>
      </c>
      <c r="D825" s="7">
        <v>388</v>
      </c>
      <c r="E825" s="27">
        <v>5</v>
      </c>
      <c r="F825" s="27">
        <v>7</v>
      </c>
      <c r="G825" s="27">
        <v>2716</v>
      </c>
      <c r="H825" s="27">
        <v>2335.7600000000002</v>
      </c>
      <c r="I825" s="27">
        <v>395.76000000000022</v>
      </c>
      <c r="J825" s="7" t="s">
        <v>228</v>
      </c>
    </row>
    <row r="826" spans="1:10" hidden="1" x14ac:dyDescent="0.25">
      <c r="A826" s="7" t="s">
        <v>211</v>
      </c>
      <c r="B826" s="7" t="s">
        <v>219</v>
      </c>
      <c r="C826" s="7" t="s">
        <v>221</v>
      </c>
      <c r="D826" s="7">
        <v>1727</v>
      </c>
      <c r="E826" s="27">
        <v>5</v>
      </c>
      <c r="F826" s="27">
        <v>7</v>
      </c>
      <c r="G826" s="27">
        <v>12089</v>
      </c>
      <c r="H826" s="27">
        <v>10396.540000000001</v>
      </c>
      <c r="I826" s="27">
        <v>1761.5400000000009</v>
      </c>
      <c r="J826" s="7" t="s">
        <v>229</v>
      </c>
    </row>
    <row r="827" spans="1:10" hidden="1" x14ac:dyDescent="0.25">
      <c r="A827" s="7" t="s">
        <v>216</v>
      </c>
      <c r="B827" s="7" t="s">
        <v>212</v>
      </c>
      <c r="C827" s="7" t="s">
        <v>221</v>
      </c>
      <c r="D827" s="7">
        <v>2300</v>
      </c>
      <c r="E827" s="27">
        <v>5</v>
      </c>
      <c r="F827" s="27">
        <v>15</v>
      </c>
      <c r="G827" s="27">
        <v>34500</v>
      </c>
      <c r="H827" s="27">
        <v>29670</v>
      </c>
      <c r="I827" s="27">
        <v>6670</v>
      </c>
      <c r="J827" s="7" t="s">
        <v>220</v>
      </c>
    </row>
    <row r="828" spans="1:10" hidden="1" x14ac:dyDescent="0.25">
      <c r="A828" s="7" t="s">
        <v>211</v>
      </c>
      <c r="B828" s="7" t="s">
        <v>219</v>
      </c>
      <c r="C828" s="7" t="s">
        <v>231</v>
      </c>
      <c r="D828" s="7">
        <v>260</v>
      </c>
      <c r="E828" s="27">
        <v>10</v>
      </c>
      <c r="F828" s="27">
        <v>20</v>
      </c>
      <c r="G828" s="27">
        <v>5200</v>
      </c>
      <c r="H828" s="27">
        <v>4472</v>
      </c>
      <c r="I828" s="27">
        <v>1872</v>
      </c>
      <c r="J828" s="7" t="s">
        <v>232</v>
      </c>
    </row>
    <row r="829" spans="1:10" hidden="1" x14ac:dyDescent="0.25">
      <c r="A829" s="7" t="s">
        <v>216</v>
      </c>
      <c r="B829" s="7" t="s">
        <v>212</v>
      </c>
      <c r="C829" s="7" t="s">
        <v>231</v>
      </c>
      <c r="D829" s="7">
        <v>2470</v>
      </c>
      <c r="E829" s="27">
        <v>10</v>
      </c>
      <c r="F829" s="27">
        <v>15</v>
      </c>
      <c r="G829" s="27">
        <v>37050</v>
      </c>
      <c r="H829" s="27">
        <v>31863</v>
      </c>
      <c r="I829" s="27">
        <v>7163</v>
      </c>
      <c r="J829" s="7" t="s">
        <v>233</v>
      </c>
    </row>
    <row r="830" spans="1:10" hidden="1" x14ac:dyDescent="0.25">
      <c r="A830" s="7" t="s">
        <v>216</v>
      </c>
      <c r="B830" s="7" t="s">
        <v>212</v>
      </c>
      <c r="C830" s="7" t="s">
        <v>231</v>
      </c>
      <c r="D830" s="7">
        <v>1743</v>
      </c>
      <c r="E830" s="27">
        <v>10</v>
      </c>
      <c r="F830" s="27">
        <v>15</v>
      </c>
      <c r="G830" s="27">
        <v>26145</v>
      </c>
      <c r="H830" s="27">
        <v>22484.7</v>
      </c>
      <c r="I830" s="27">
        <v>5054.7000000000007</v>
      </c>
      <c r="J830" s="7" t="s">
        <v>229</v>
      </c>
    </row>
    <row r="831" spans="1:10" x14ac:dyDescent="0.25">
      <c r="A831" s="7" t="s">
        <v>223</v>
      </c>
      <c r="B831" s="7" t="s">
        <v>230</v>
      </c>
      <c r="C831" s="7" t="s">
        <v>231</v>
      </c>
      <c r="D831" s="7">
        <v>2914</v>
      </c>
      <c r="E831" s="27">
        <v>10</v>
      </c>
      <c r="F831" s="27">
        <v>12</v>
      </c>
      <c r="G831" s="27">
        <v>34968</v>
      </c>
      <c r="H831" s="27">
        <v>30072.48</v>
      </c>
      <c r="I831" s="27">
        <v>21330.48</v>
      </c>
      <c r="J831" s="7" t="s">
        <v>234</v>
      </c>
    </row>
    <row r="832" spans="1:10" hidden="1" x14ac:dyDescent="0.25">
      <c r="A832" s="7" t="s">
        <v>211</v>
      </c>
      <c r="B832" s="7" t="s">
        <v>217</v>
      </c>
      <c r="C832" s="7" t="s">
        <v>231</v>
      </c>
      <c r="D832" s="7">
        <v>1731</v>
      </c>
      <c r="E832" s="27">
        <v>10</v>
      </c>
      <c r="F832" s="27">
        <v>7</v>
      </c>
      <c r="G832" s="27">
        <v>12117</v>
      </c>
      <c r="H832" s="27">
        <v>10420.619999999999</v>
      </c>
      <c r="I832" s="27">
        <v>1765.619999999999</v>
      </c>
      <c r="J832" s="7" t="s">
        <v>234</v>
      </c>
    </row>
    <row r="833" spans="1:10" hidden="1" x14ac:dyDescent="0.25">
      <c r="A833" s="7" t="s">
        <v>211</v>
      </c>
      <c r="B833" s="7" t="s">
        <v>212</v>
      </c>
      <c r="C833" s="7" t="s">
        <v>231</v>
      </c>
      <c r="D833" s="7">
        <v>700</v>
      </c>
      <c r="E833" s="27">
        <v>10</v>
      </c>
      <c r="F833" s="27">
        <v>350</v>
      </c>
      <c r="G833" s="27">
        <v>245000</v>
      </c>
      <c r="H833" s="27">
        <v>210700</v>
      </c>
      <c r="I833" s="27">
        <v>28700</v>
      </c>
      <c r="J833" s="7" t="s">
        <v>242</v>
      </c>
    </row>
    <row r="834" spans="1:10" hidden="1" x14ac:dyDescent="0.25">
      <c r="A834" s="7" t="s">
        <v>223</v>
      </c>
      <c r="B834" s="7" t="s">
        <v>212</v>
      </c>
      <c r="C834" s="7" t="s">
        <v>231</v>
      </c>
      <c r="D834" s="7">
        <v>2222</v>
      </c>
      <c r="E834" s="27">
        <v>10</v>
      </c>
      <c r="F834" s="27">
        <v>12</v>
      </c>
      <c r="G834" s="27">
        <v>26664</v>
      </c>
      <c r="H834" s="27">
        <v>22931.040000000001</v>
      </c>
      <c r="I834" s="27">
        <v>16265.04</v>
      </c>
      <c r="J834" s="7" t="s">
        <v>235</v>
      </c>
    </row>
    <row r="835" spans="1:10" x14ac:dyDescent="0.25">
      <c r="A835" s="7" t="s">
        <v>211</v>
      </c>
      <c r="B835" s="7" t="s">
        <v>230</v>
      </c>
      <c r="C835" s="7" t="s">
        <v>231</v>
      </c>
      <c r="D835" s="7">
        <v>1177</v>
      </c>
      <c r="E835" s="27">
        <v>10</v>
      </c>
      <c r="F835" s="27">
        <v>350</v>
      </c>
      <c r="G835" s="27">
        <v>411950</v>
      </c>
      <c r="H835" s="27">
        <v>354277</v>
      </c>
      <c r="I835" s="27">
        <v>48257</v>
      </c>
      <c r="J835" s="7" t="s">
        <v>242</v>
      </c>
    </row>
    <row r="836" spans="1:10" hidden="1" x14ac:dyDescent="0.25">
      <c r="A836" s="7" t="s">
        <v>211</v>
      </c>
      <c r="B836" s="7" t="s">
        <v>217</v>
      </c>
      <c r="C836" s="7" t="s">
        <v>231</v>
      </c>
      <c r="D836" s="7">
        <v>1922</v>
      </c>
      <c r="E836" s="27">
        <v>10</v>
      </c>
      <c r="F836" s="27">
        <v>350</v>
      </c>
      <c r="G836" s="27">
        <v>672700</v>
      </c>
      <c r="H836" s="27">
        <v>578522</v>
      </c>
      <c r="I836" s="27">
        <v>78802</v>
      </c>
      <c r="J836" s="7" t="s">
        <v>235</v>
      </c>
    </row>
    <row r="837" spans="1:10" hidden="1" x14ac:dyDescent="0.25">
      <c r="A837" s="7" t="s">
        <v>224</v>
      </c>
      <c r="B837" s="7" t="s">
        <v>219</v>
      </c>
      <c r="C837" s="7" t="s">
        <v>237</v>
      </c>
      <c r="D837" s="7">
        <v>1575</v>
      </c>
      <c r="E837" s="27">
        <v>120</v>
      </c>
      <c r="F837" s="27">
        <v>125</v>
      </c>
      <c r="G837" s="27">
        <v>196875</v>
      </c>
      <c r="H837" s="27">
        <v>169312.5</v>
      </c>
      <c r="I837" s="27">
        <v>-19687.5</v>
      </c>
      <c r="J837" s="7" t="s">
        <v>232</v>
      </c>
    </row>
    <row r="838" spans="1:10" x14ac:dyDescent="0.25">
      <c r="A838" s="7" t="s">
        <v>211</v>
      </c>
      <c r="B838" s="7" t="s">
        <v>230</v>
      </c>
      <c r="C838" s="7" t="s">
        <v>237</v>
      </c>
      <c r="D838" s="7">
        <v>606</v>
      </c>
      <c r="E838" s="27">
        <v>120</v>
      </c>
      <c r="F838" s="27">
        <v>20</v>
      </c>
      <c r="G838" s="27">
        <v>12120</v>
      </c>
      <c r="H838" s="27">
        <v>10423.200000000001</v>
      </c>
      <c r="I838" s="27">
        <v>4363.2000000000007</v>
      </c>
      <c r="J838" s="7" t="s">
        <v>239</v>
      </c>
    </row>
    <row r="839" spans="1:10" x14ac:dyDescent="0.25">
      <c r="A839" s="7" t="s">
        <v>226</v>
      </c>
      <c r="B839" s="7" t="s">
        <v>230</v>
      </c>
      <c r="C839" s="7" t="s">
        <v>237</v>
      </c>
      <c r="D839" s="7">
        <v>2460</v>
      </c>
      <c r="E839" s="27">
        <v>120</v>
      </c>
      <c r="F839" s="27">
        <v>300</v>
      </c>
      <c r="G839" s="27">
        <v>738000</v>
      </c>
      <c r="H839" s="27">
        <v>634680</v>
      </c>
      <c r="I839" s="27">
        <v>19680</v>
      </c>
      <c r="J839" s="7" t="s">
        <v>225</v>
      </c>
    </row>
    <row r="840" spans="1:10" hidden="1" x14ac:dyDescent="0.25">
      <c r="A840" s="7" t="s">
        <v>226</v>
      </c>
      <c r="B840" s="7" t="s">
        <v>212</v>
      </c>
      <c r="C840" s="7" t="s">
        <v>237</v>
      </c>
      <c r="D840" s="7">
        <v>269</v>
      </c>
      <c r="E840" s="27">
        <v>120</v>
      </c>
      <c r="F840" s="27">
        <v>300</v>
      </c>
      <c r="G840" s="27">
        <v>80700</v>
      </c>
      <c r="H840" s="27">
        <v>69402</v>
      </c>
      <c r="I840" s="27">
        <v>2152</v>
      </c>
      <c r="J840" s="7" t="s">
        <v>229</v>
      </c>
    </row>
    <row r="841" spans="1:10" hidden="1" x14ac:dyDescent="0.25">
      <c r="A841" s="7" t="s">
        <v>226</v>
      </c>
      <c r="B841" s="7" t="s">
        <v>215</v>
      </c>
      <c r="C841" s="7" t="s">
        <v>237</v>
      </c>
      <c r="D841" s="7">
        <v>2536</v>
      </c>
      <c r="E841" s="27">
        <v>120</v>
      </c>
      <c r="F841" s="27">
        <v>300</v>
      </c>
      <c r="G841" s="27">
        <v>760800</v>
      </c>
      <c r="H841" s="27">
        <v>654288</v>
      </c>
      <c r="I841" s="27">
        <v>20288</v>
      </c>
      <c r="J841" s="7" t="s">
        <v>235</v>
      </c>
    </row>
    <row r="842" spans="1:10" hidden="1" x14ac:dyDescent="0.25">
      <c r="A842" s="7" t="s">
        <v>211</v>
      </c>
      <c r="B842" s="7" t="s">
        <v>219</v>
      </c>
      <c r="C842" s="7" t="s">
        <v>238</v>
      </c>
      <c r="D842" s="7">
        <v>2903</v>
      </c>
      <c r="E842" s="27">
        <v>250</v>
      </c>
      <c r="F842" s="27">
        <v>7</v>
      </c>
      <c r="G842" s="27">
        <v>20321</v>
      </c>
      <c r="H842" s="27">
        <v>17476.060000000001</v>
      </c>
      <c r="I842" s="27">
        <v>2961.0600000000013</v>
      </c>
      <c r="J842" s="7" t="s">
        <v>222</v>
      </c>
    </row>
    <row r="843" spans="1:10" x14ac:dyDescent="0.25">
      <c r="A843" s="7" t="s">
        <v>226</v>
      </c>
      <c r="B843" s="7" t="s">
        <v>230</v>
      </c>
      <c r="C843" s="7" t="s">
        <v>238</v>
      </c>
      <c r="D843" s="7">
        <v>2541</v>
      </c>
      <c r="E843" s="27">
        <v>250</v>
      </c>
      <c r="F843" s="27">
        <v>300</v>
      </c>
      <c r="G843" s="27">
        <v>762300</v>
      </c>
      <c r="H843" s="27">
        <v>655578</v>
      </c>
      <c r="I843" s="27">
        <v>20328</v>
      </c>
      <c r="J843" s="7" t="s">
        <v>227</v>
      </c>
    </row>
    <row r="844" spans="1:10" hidden="1" x14ac:dyDescent="0.25">
      <c r="A844" s="7" t="s">
        <v>226</v>
      </c>
      <c r="B844" s="7" t="s">
        <v>212</v>
      </c>
      <c r="C844" s="7" t="s">
        <v>238</v>
      </c>
      <c r="D844" s="7">
        <v>269</v>
      </c>
      <c r="E844" s="27">
        <v>250</v>
      </c>
      <c r="F844" s="27">
        <v>300</v>
      </c>
      <c r="G844" s="27">
        <v>80700</v>
      </c>
      <c r="H844" s="27">
        <v>69402</v>
      </c>
      <c r="I844" s="27">
        <v>2152</v>
      </c>
      <c r="J844" s="7" t="s">
        <v>229</v>
      </c>
    </row>
    <row r="845" spans="1:10" hidden="1" x14ac:dyDescent="0.25">
      <c r="A845" s="7" t="s">
        <v>226</v>
      </c>
      <c r="B845" s="7" t="s">
        <v>212</v>
      </c>
      <c r="C845" s="7" t="s">
        <v>238</v>
      </c>
      <c r="D845" s="7">
        <v>1496</v>
      </c>
      <c r="E845" s="27">
        <v>250</v>
      </c>
      <c r="F845" s="27">
        <v>300</v>
      </c>
      <c r="G845" s="27">
        <v>448800</v>
      </c>
      <c r="H845" s="27">
        <v>385968</v>
      </c>
      <c r="I845" s="27">
        <v>11968</v>
      </c>
      <c r="J845" s="7" t="s">
        <v>234</v>
      </c>
    </row>
    <row r="846" spans="1:10" x14ac:dyDescent="0.25">
      <c r="A846" s="7" t="s">
        <v>226</v>
      </c>
      <c r="B846" s="7" t="s">
        <v>230</v>
      </c>
      <c r="C846" s="7" t="s">
        <v>238</v>
      </c>
      <c r="D846" s="7">
        <v>1010</v>
      </c>
      <c r="E846" s="27">
        <v>250</v>
      </c>
      <c r="F846" s="27">
        <v>300</v>
      </c>
      <c r="G846" s="27">
        <v>303000</v>
      </c>
      <c r="H846" s="27">
        <v>260580</v>
      </c>
      <c r="I846" s="27">
        <v>8080</v>
      </c>
      <c r="J846" s="7" t="s">
        <v>234</v>
      </c>
    </row>
    <row r="847" spans="1:10" hidden="1" x14ac:dyDescent="0.25">
      <c r="A847" s="7" t="s">
        <v>211</v>
      </c>
      <c r="B847" s="7" t="s">
        <v>217</v>
      </c>
      <c r="C847" s="7" t="s">
        <v>238</v>
      </c>
      <c r="D847" s="7">
        <v>1281</v>
      </c>
      <c r="E847" s="27">
        <v>250</v>
      </c>
      <c r="F847" s="27">
        <v>350</v>
      </c>
      <c r="G847" s="27">
        <v>448350</v>
      </c>
      <c r="H847" s="27">
        <v>385581</v>
      </c>
      <c r="I847" s="27">
        <v>52521</v>
      </c>
      <c r="J847" s="7" t="s">
        <v>236</v>
      </c>
    </row>
    <row r="848" spans="1:10" hidden="1" x14ac:dyDescent="0.25">
      <c r="A848" s="7" t="s">
        <v>226</v>
      </c>
      <c r="B848" s="7" t="s">
        <v>212</v>
      </c>
      <c r="C848" s="7" t="s">
        <v>240</v>
      </c>
      <c r="D848" s="7">
        <v>888</v>
      </c>
      <c r="E848" s="27">
        <v>260</v>
      </c>
      <c r="F848" s="27">
        <v>300</v>
      </c>
      <c r="G848" s="27">
        <v>266400</v>
      </c>
      <c r="H848" s="27">
        <v>229104</v>
      </c>
      <c r="I848" s="27">
        <v>7104</v>
      </c>
      <c r="J848" s="7" t="s">
        <v>222</v>
      </c>
    </row>
    <row r="849" spans="1:10" x14ac:dyDescent="0.25">
      <c r="A849" s="7" t="s">
        <v>224</v>
      </c>
      <c r="B849" s="7" t="s">
        <v>230</v>
      </c>
      <c r="C849" s="7" t="s">
        <v>240</v>
      </c>
      <c r="D849" s="7">
        <v>2844</v>
      </c>
      <c r="E849" s="27">
        <v>260</v>
      </c>
      <c r="F849" s="27">
        <v>125</v>
      </c>
      <c r="G849" s="27">
        <v>355500</v>
      </c>
      <c r="H849" s="27">
        <v>305730</v>
      </c>
      <c r="I849" s="27">
        <v>-35550</v>
      </c>
      <c r="J849" s="7" t="s">
        <v>241</v>
      </c>
    </row>
    <row r="850" spans="1:10" hidden="1" x14ac:dyDescent="0.25">
      <c r="A850" s="7" t="s">
        <v>223</v>
      </c>
      <c r="B850" s="7" t="s">
        <v>217</v>
      </c>
      <c r="C850" s="7" t="s">
        <v>240</v>
      </c>
      <c r="D850" s="7">
        <v>2475</v>
      </c>
      <c r="E850" s="27">
        <v>260</v>
      </c>
      <c r="F850" s="27">
        <v>12</v>
      </c>
      <c r="G850" s="27">
        <v>29700</v>
      </c>
      <c r="H850" s="27">
        <v>25542</v>
      </c>
      <c r="I850" s="27">
        <v>18117</v>
      </c>
      <c r="J850" s="7" t="s">
        <v>227</v>
      </c>
    </row>
    <row r="851" spans="1:10" hidden="1" x14ac:dyDescent="0.25">
      <c r="A851" s="7" t="s">
        <v>216</v>
      </c>
      <c r="B851" s="7" t="s">
        <v>212</v>
      </c>
      <c r="C851" s="7" t="s">
        <v>240</v>
      </c>
      <c r="D851" s="7">
        <v>1743</v>
      </c>
      <c r="E851" s="27">
        <v>260</v>
      </c>
      <c r="F851" s="27">
        <v>15</v>
      </c>
      <c r="G851" s="27">
        <v>26145</v>
      </c>
      <c r="H851" s="27">
        <v>22484.7</v>
      </c>
      <c r="I851" s="27">
        <v>5054.7000000000007</v>
      </c>
      <c r="J851" s="7" t="s">
        <v>229</v>
      </c>
    </row>
    <row r="852" spans="1:10" x14ac:dyDescent="0.25">
      <c r="A852" s="7" t="s">
        <v>223</v>
      </c>
      <c r="B852" s="7" t="s">
        <v>230</v>
      </c>
      <c r="C852" s="7" t="s">
        <v>240</v>
      </c>
      <c r="D852" s="7">
        <v>2914</v>
      </c>
      <c r="E852" s="27">
        <v>260</v>
      </c>
      <c r="F852" s="27">
        <v>12</v>
      </c>
      <c r="G852" s="27">
        <v>34968</v>
      </c>
      <c r="H852" s="27">
        <v>30072.48</v>
      </c>
      <c r="I852" s="27">
        <v>21330.48</v>
      </c>
      <c r="J852" s="7" t="s">
        <v>234</v>
      </c>
    </row>
    <row r="853" spans="1:10" hidden="1" x14ac:dyDescent="0.25">
      <c r="A853" s="7" t="s">
        <v>211</v>
      </c>
      <c r="B853" s="7" t="s">
        <v>217</v>
      </c>
      <c r="C853" s="7" t="s">
        <v>240</v>
      </c>
      <c r="D853" s="7">
        <v>1731</v>
      </c>
      <c r="E853" s="27">
        <v>260</v>
      </c>
      <c r="F853" s="27">
        <v>7</v>
      </c>
      <c r="G853" s="27">
        <v>12117</v>
      </c>
      <c r="H853" s="27">
        <v>10420.619999999999</v>
      </c>
      <c r="I853" s="27">
        <v>1765.619999999999</v>
      </c>
      <c r="J853" s="7" t="s">
        <v>234</v>
      </c>
    </row>
    <row r="854" spans="1:10" hidden="1" x14ac:dyDescent="0.25">
      <c r="A854" s="7" t="s">
        <v>211</v>
      </c>
      <c r="B854" s="7" t="s">
        <v>219</v>
      </c>
      <c r="C854" s="7" t="s">
        <v>240</v>
      </c>
      <c r="D854" s="7">
        <v>1727</v>
      </c>
      <c r="E854" s="27">
        <v>260</v>
      </c>
      <c r="F854" s="27">
        <v>7</v>
      </c>
      <c r="G854" s="27">
        <v>12089</v>
      </c>
      <c r="H854" s="27">
        <v>10396.540000000001</v>
      </c>
      <c r="I854" s="27">
        <v>1761.5400000000009</v>
      </c>
      <c r="J854" s="7" t="s">
        <v>229</v>
      </c>
    </row>
    <row r="855" spans="1:10" hidden="1" x14ac:dyDescent="0.25">
      <c r="A855" s="7" t="s">
        <v>216</v>
      </c>
      <c r="B855" s="7" t="s">
        <v>219</v>
      </c>
      <c r="C855" s="7" t="s">
        <v>240</v>
      </c>
      <c r="D855" s="7">
        <v>1870</v>
      </c>
      <c r="E855" s="27">
        <v>260</v>
      </c>
      <c r="F855" s="27">
        <v>15</v>
      </c>
      <c r="G855" s="27">
        <v>28050</v>
      </c>
      <c r="H855" s="27">
        <v>24123</v>
      </c>
      <c r="I855" s="27">
        <v>5423</v>
      </c>
      <c r="J855" s="7" t="s">
        <v>235</v>
      </c>
    </row>
    <row r="856" spans="1:10" hidden="1" x14ac:dyDescent="0.25">
      <c r="A856" s="7" t="s">
        <v>224</v>
      </c>
      <c r="B856" s="7" t="s">
        <v>217</v>
      </c>
      <c r="C856" s="7" t="s">
        <v>213</v>
      </c>
      <c r="D856" s="7">
        <v>1174</v>
      </c>
      <c r="E856" s="27">
        <v>3</v>
      </c>
      <c r="F856" s="27">
        <v>125</v>
      </c>
      <c r="G856" s="27">
        <v>146750</v>
      </c>
      <c r="H856" s="27">
        <v>124737.5</v>
      </c>
      <c r="I856" s="27">
        <v>-16142.5</v>
      </c>
      <c r="J856" s="7" t="s">
        <v>227</v>
      </c>
    </row>
    <row r="857" spans="1:10" hidden="1" x14ac:dyDescent="0.25">
      <c r="A857" s="7" t="s">
        <v>224</v>
      </c>
      <c r="B857" s="7" t="s">
        <v>215</v>
      </c>
      <c r="C857" s="7" t="s">
        <v>213</v>
      </c>
      <c r="D857" s="7">
        <v>2767</v>
      </c>
      <c r="E857" s="27">
        <v>3</v>
      </c>
      <c r="F857" s="27">
        <v>125</v>
      </c>
      <c r="G857" s="27">
        <v>345875</v>
      </c>
      <c r="H857" s="27">
        <v>293993.75</v>
      </c>
      <c r="I857" s="27">
        <v>-38046.25</v>
      </c>
      <c r="J857" s="7" t="s">
        <v>227</v>
      </c>
    </row>
    <row r="858" spans="1:10" hidden="1" x14ac:dyDescent="0.25">
      <c r="A858" s="7" t="s">
        <v>224</v>
      </c>
      <c r="B858" s="7" t="s">
        <v>215</v>
      </c>
      <c r="C858" s="7" t="s">
        <v>213</v>
      </c>
      <c r="D858" s="7">
        <v>1085</v>
      </c>
      <c r="E858" s="27">
        <v>3</v>
      </c>
      <c r="F858" s="27">
        <v>125</v>
      </c>
      <c r="G858" s="27">
        <v>135625</v>
      </c>
      <c r="H858" s="27">
        <v>115281.25</v>
      </c>
      <c r="I858" s="27">
        <v>-14918.75</v>
      </c>
      <c r="J858" s="7" t="s">
        <v>234</v>
      </c>
    </row>
    <row r="859" spans="1:10" hidden="1" x14ac:dyDescent="0.25">
      <c r="A859" s="7" t="s">
        <v>226</v>
      </c>
      <c r="B859" s="7" t="s">
        <v>219</v>
      </c>
      <c r="C859" s="7" t="s">
        <v>221</v>
      </c>
      <c r="D859" s="7">
        <v>546</v>
      </c>
      <c r="E859" s="27">
        <v>5</v>
      </c>
      <c r="F859" s="27">
        <v>300</v>
      </c>
      <c r="G859" s="27">
        <v>163800</v>
      </c>
      <c r="H859" s="27">
        <v>139230</v>
      </c>
      <c r="I859" s="27">
        <v>2730</v>
      </c>
      <c r="J859" s="7" t="s">
        <v>234</v>
      </c>
    </row>
    <row r="860" spans="1:10" hidden="1" x14ac:dyDescent="0.25">
      <c r="A860" s="7" t="s">
        <v>211</v>
      </c>
      <c r="B860" s="7" t="s">
        <v>215</v>
      </c>
      <c r="C860" s="7" t="s">
        <v>231</v>
      </c>
      <c r="D860" s="7">
        <v>1158</v>
      </c>
      <c r="E860" s="27">
        <v>10</v>
      </c>
      <c r="F860" s="27">
        <v>20</v>
      </c>
      <c r="G860" s="27">
        <v>23160</v>
      </c>
      <c r="H860" s="27">
        <v>19686</v>
      </c>
      <c r="I860" s="27">
        <v>8106</v>
      </c>
      <c r="J860" s="7" t="s">
        <v>222</v>
      </c>
    </row>
    <row r="861" spans="1:10" hidden="1" x14ac:dyDescent="0.25">
      <c r="A861" s="7" t="s">
        <v>216</v>
      </c>
      <c r="B861" s="7" t="s">
        <v>212</v>
      </c>
      <c r="C861" s="7" t="s">
        <v>231</v>
      </c>
      <c r="D861" s="7">
        <v>1614</v>
      </c>
      <c r="E861" s="27">
        <v>10</v>
      </c>
      <c r="F861" s="27">
        <v>15</v>
      </c>
      <c r="G861" s="27">
        <v>24210</v>
      </c>
      <c r="H861" s="27">
        <v>20578.5</v>
      </c>
      <c r="I861" s="27">
        <v>4438.5</v>
      </c>
      <c r="J861" s="7" t="s">
        <v>239</v>
      </c>
    </row>
    <row r="862" spans="1:10" hidden="1" x14ac:dyDescent="0.25">
      <c r="A862" s="7" t="s">
        <v>211</v>
      </c>
      <c r="B862" s="7" t="s">
        <v>219</v>
      </c>
      <c r="C862" s="7" t="s">
        <v>231</v>
      </c>
      <c r="D862" s="7">
        <v>2535</v>
      </c>
      <c r="E862" s="27">
        <v>10</v>
      </c>
      <c r="F862" s="27">
        <v>7</v>
      </c>
      <c r="G862" s="27">
        <v>17745</v>
      </c>
      <c r="H862" s="27">
        <v>15083.25</v>
      </c>
      <c r="I862" s="27">
        <v>2408.25</v>
      </c>
      <c r="J862" s="7" t="s">
        <v>239</v>
      </c>
    </row>
    <row r="863" spans="1:10" hidden="1" x14ac:dyDescent="0.25">
      <c r="A863" s="7" t="s">
        <v>211</v>
      </c>
      <c r="B863" s="7" t="s">
        <v>219</v>
      </c>
      <c r="C863" s="7" t="s">
        <v>231</v>
      </c>
      <c r="D863" s="7">
        <v>2851</v>
      </c>
      <c r="E863" s="27">
        <v>10</v>
      </c>
      <c r="F863" s="27">
        <v>350</v>
      </c>
      <c r="G863" s="27">
        <v>997850</v>
      </c>
      <c r="H863" s="27">
        <v>848172.5</v>
      </c>
      <c r="I863" s="27">
        <v>106912.5</v>
      </c>
      <c r="J863" s="7" t="s">
        <v>241</v>
      </c>
    </row>
    <row r="864" spans="1:10" hidden="1" x14ac:dyDescent="0.25">
      <c r="A864" s="7" t="s">
        <v>216</v>
      </c>
      <c r="B864" s="7" t="s">
        <v>212</v>
      </c>
      <c r="C864" s="7" t="s">
        <v>231</v>
      </c>
      <c r="D864" s="7">
        <v>2559</v>
      </c>
      <c r="E864" s="27">
        <v>10</v>
      </c>
      <c r="F864" s="27">
        <v>15</v>
      </c>
      <c r="G864" s="27">
        <v>38385</v>
      </c>
      <c r="H864" s="27">
        <v>32627.25</v>
      </c>
      <c r="I864" s="27">
        <v>7037.25</v>
      </c>
      <c r="J864" s="7" t="s">
        <v>227</v>
      </c>
    </row>
    <row r="865" spans="1:10" x14ac:dyDescent="0.25">
      <c r="A865" s="7" t="s">
        <v>211</v>
      </c>
      <c r="B865" s="7" t="s">
        <v>230</v>
      </c>
      <c r="C865" s="7" t="s">
        <v>231</v>
      </c>
      <c r="D865" s="7">
        <v>267</v>
      </c>
      <c r="E865" s="27">
        <v>10</v>
      </c>
      <c r="F865" s="27">
        <v>20</v>
      </c>
      <c r="G865" s="27">
        <v>5340</v>
      </c>
      <c r="H865" s="27">
        <v>4539</v>
      </c>
      <c r="I865" s="27">
        <v>1869</v>
      </c>
      <c r="J865" s="7" t="s">
        <v>229</v>
      </c>
    </row>
    <row r="866" spans="1:10" hidden="1" x14ac:dyDescent="0.25">
      <c r="A866" s="7" t="s">
        <v>224</v>
      </c>
      <c r="B866" s="7" t="s">
        <v>215</v>
      </c>
      <c r="C866" s="7" t="s">
        <v>231</v>
      </c>
      <c r="D866" s="7">
        <v>1085</v>
      </c>
      <c r="E866" s="27">
        <v>10</v>
      </c>
      <c r="F866" s="27">
        <v>125</v>
      </c>
      <c r="G866" s="27">
        <v>135625</v>
      </c>
      <c r="H866" s="27">
        <v>115281.25</v>
      </c>
      <c r="I866" s="27">
        <v>-14918.75</v>
      </c>
      <c r="J866" s="7" t="s">
        <v>234</v>
      </c>
    </row>
    <row r="867" spans="1:10" hidden="1" x14ac:dyDescent="0.25">
      <c r="A867" s="7" t="s">
        <v>216</v>
      </c>
      <c r="B867" s="7" t="s">
        <v>215</v>
      </c>
      <c r="C867" s="7" t="s">
        <v>231</v>
      </c>
      <c r="D867" s="7">
        <v>1175</v>
      </c>
      <c r="E867" s="27">
        <v>10</v>
      </c>
      <c r="F867" s="27">
        <v>15</v>
      </c>
      <c r="G867" s="27">
        <v>17625</v>
      </c>
      <c r="H867" s="27">
        <v>14981.25</v>
      </c>
      <c r="I867" s="27">
        <v>3231.25</v>
      </c>
      <c r="J867" s="7" t="s">
        <v>234</v>
      </c>
    </row>
    <row r="868" spans="1:10" x14ac:dyDescent="0.25">
      <c r="A868" s="7" t="s">
        <v>211</v>
      </c>
      <c r="B868" s="7" t="s">
        <v>230</v>
      </c>
      <c r="C868" s="7" t="s">
        <v>231</v>
      </c>
      <c r="D868" s="7">
        <v>2007</v>
      </c>
      <c r="E868" s="27">
        <v>10</v>
      </c>
      <c r="F868" s="27">
        <v>350</v>
      </c>
      <c r="G868" s="27">
        <v>702450</v>
      </c>
      <c r="H868" s="27">
        <v>597082.5</v>
      </c>
      <c r="I868" s="27">
        <v>75262.5</v>
      </c>
      <c r="J868" s="7" t="s">
        <v>235</v>
      </c>
    </row>
    <row r="869" spans="1:10" hidden="1" x14ac:dyDescent="0.25">
      <c r="A869" s="7" t="s">
        <v>211</v>
      </c>
      <c r="B869" s="7" t="s">
        <v>219</v>
      </c>
      <c r="C869" s="7" t="s">
        <v>231</v>
      </c>
      <c r="D869" s="7">
        <v>2151</v>
      </c>
      <c r="E869" s="27">
        <v>10</v>
      </c>
      <c r="F869" s="27">
        <v>350</v>
      </c>
      <c r="G869" s="27">
        <v>752850</v>
      </c>
      <c r="H869" s="27">
        <v>639922.5</v>
      </c>
      <c r="I869" s="27">
        <v>80662.5</v>
      </c>
      <c r="J869" s="7" t="s">
        <v>235</v>
      </c>
    </row>
    <row r="870" spans="1:10" x14ac:dyDescent="0.25">
      <c r="A870" s="7" t="s">
        <v>223</v>
      </c>
      <c r="B870" s="7" t="s">
        <v>230</v>
      </c>
      <c r="C870" s="7" t="s">
        <v>231</v>
      </c>
      <c r="D870" s="7">
        <v>914</v>
      </c>
      <c r="E870" s="27">
        <v>10</v>
      </c>
      <c r="F870" s="27">
        <v>12</v>
      </c>
      <c r="G870" s="27">
        <v>10968</v>
      </c>
      <c r="H870" s="27">
        <v>9322.7999999999993</v>
      </c>
      <c r="I870" s="27">
        <v>6580.7999999999993</v>
      </c>
      <c r="J870" s="7" t="s">
        <v>220</v>
      </c>
    </row>
    <row r="871" spans="1:10" hidden="1" x14ac:dyDescent="0.25">
      <c r="A871" s="7" t="s">
        <v>211</v>
      </c>
      <c r="B871" s="7" t="s">
        <v>217</v>
      </c>
      <c r="C871" s="7" t="s">
        <v>231</v>
      </c>
      <c r="D871" s="7">
        <v>293</v>
      </c>
      <c r="E871" s="27">
        <v>10</v>
      </c>
      <c r="F871" s="27">
        <v>20</v>
      </c>
      <c r="G871" s="27">
        <v>5860</v>
      </c>
      <c r="H871" s="27">
        <v>4981</v>
      </c>
      <c r="I871" s="27">
        <v>2051</v>
      </c>
      <c r="J871" s="7" t="s">
        <v>220</v>
      </c>
    </row>
    <row r="872" spans="1:10" hidden="1" x14ac:dyDescent="0.25">
      <c r="A872" s="7" t="s">
        <v>223</v>
      </c>
      <c r="B872" s="7" t="s">
        <v>219</v>
      </c>
      <c r="C872" s="7" t="s">
        <v>237</v>
      </c>
      <c r="D872" s="7">
        <v>500</v>
      </c>
      <c r="E872" s="27">
        <v>120</v>
      </c>
      <c r="F872" s="27">
        <v>12</v>
      </c>
      <c r="G872" s="27">
        <v>6000</v>
      </c>
      <c r="H872" s="27">
        <v>5100</v>
      </c>
      <c r="I872" s="27">
        <v>3600</v>
      </c>
      <c r="J872" s="7" t="s">
        <v>222</v>
      </c>
    </row>
    <row r="873" spans="1:10" hidden="1" x14ac:dyDescent="0.25">
      <c r="A873" s="7" t="s">
        <v>216</v>
      </c>
      <c r="B873" s="7" t="s">
        <v>217</v>
      </c>
      <c r="C873" s="7" t="s">
        <v>237</v>
      </c>
      <c r="D873" s="7">
        <v>2826</v>
      </c>
      <c r="E873" s="27">
        <v>120</v>
      </c>
      <c r="F873" s="27">
        <v>15</v>
      </c>
      <c r="G873" s="27">
        <v>42390</v>
      </c>
      <c r="H873" s="27">
        <v>36031.5</v>
      </c>
      <c r="I873" s="27">
        <v>7771.5</v>
      </c>
      <c r="J873" s="7" t="s">
        <v>241</v>
      </c>
    </row>
    <row r="874" spans="1:10" hidden="1" x14ac:dyDescent="0.25">
      <c r="A874" s="7" t="s">
        <v>224</v>
      </c>
      <c r="B874" s="7" t="s">
        <v>217</v>
      </c>
      <c r="C874" s="7" t="s">
        <v>237</v>
      </c>
      <c r="D874" s="7">
        <v>663</v>
      </c>
      <c r="E874" s="27">
        <v>120</v>
      </c>
      <c r="F874" s="27">
        <v>125</v>
      </c>
      <c r="G874" s="27">
        <v>82875</v>
      </c>
      <c r="H874" s="27">
        <v>70443.75</v>
      </c>
      <c r="I874" s="27">
        <v>-9116.25</v>
      </c>
      <c r="J874" s="7" t="s">
        <v>228</v>
      </c>
    </row>
    <row r="875" spans="1:10" x14ac:dyDescent="0.25">
      <c r="A875" s="7" t="s">
        <v>226</v>
      </c>
      <c r="B875" s="7" t="s">
        <v>230</v>
      </c>
      <c r="C875" s="7" t="s">
        <v>237</v>
      </c>
      <c r="D875" s="7">
        <v>2574</v>
      </c>
      <c r="E875" s="27">
        <v>120</v>
      </c>
      <c r="F875" s="27">
        <v>300</v>
      </c>
      <c r="G875" s="27">
        <v>772200</v>
      </c>
      <c r="H875" s="27">
        <v>656370</v>
      </c>
      <c r="I875" s="27">
        <v>12870</v>
      </c>
      <c r="J875" s="7" t="s">
        <v>235</v>
      </c>
    </row>
    <row r="876" spans="1:10" x14ac:dyDescent="0.25">
      <c r="A876" s="7" t="s">
        <v>224</v>
      </c>
      <c r="B876" s="7" t="s">
        <v>230</v>
      </c>
      <c r="C876" s="7" t="s">
        <v>237</v>
      </c>
      <c r="D876" s="7">
        <v>2438</v>
      </c>
      <c r="E876" s="27">
        <v>120</v>
      </c>
      <c r="F876" s="27">
        <v>125</v>
      </c>
      <c r="G876" s="27">
        <v>304750</v>
      </c>
      <c r="H876" s="27">
        <v>259037.5</v>
      </c>
      <c r="I876" s="27">
        <v>-33522.5</v>
      </c>
      <c r="J876" s="7" t="s">
        <v>236</v>
      </c>
    </row>
    <row r="877" spans="1:10" x14ac:dyDescent="0.25">
      <c r="A877" s="7" t="s">
        <v>223</v>
      </c>
      <c r="B877" s="7" t="s">
        <v>230</v>
      </c>
      <c r="C877" s="7" t="s">
        <v>237</v>
      </c>
      <c r="D877" s="7">
        <v>914</v>
      </c>
      <c r="E877" s="27">
        <v>120</v>
      </c>
      <c r="F877" s="27">
        <v>12</v>
      </c>
      <c r="G877" s="27">
        <v>10968</v>
      </c>
      <c r="H877" s="27">
        <v>9322.7999999999993</v>
      </c>
      <c r="I877" s="27">
        <v>6580.7999999999993</v>
      </c>
      <c r="J877" s="7" t="s">
        <v>220</v>
      </c>
    </row>
    <row r="878" spans="1:10" hidden="1" x14ac:dyDescent="0.25">
      <c r="A878" s="7" t="s">
        <v>211</v>
      </c>
      <c r="B878" s="7" t="s">
        <v>212</v>
      </c>
      <c r="C878" s="7" t="s">
        <v>238</v>
      </c>
      <c r="D878" s="7">
        <v>865.5</v>
      </c>
      <c r="E878" s="27">
        <v>250</v>
      </c>
      <c r="F878" s="27">
        <v>20</v>
      </c>
      <c r="G878" s="27">
        <v>17310</v>
      </c>
      <c r="H878" s="27">
        <v>14713.5</v>
      </c>
      <c r="I878" s="27">
        <v>6058.5</v>
      </c>
      <c r="J878" s="7" t="s">
        <v>225</v>
      </c>
    </row>
    <row r="879" spans="1:10" hidden="1" x14ac:dyDescent="0.25">
      <c r="A879" s="7" t="s">
        <v>216</v>
      </c>
      <c r="B879" s="7" t="s">
        <v>215</v>
      </c>
      <c r="C879" s="7" t="s">
        <v>238</v>
      </c>
      <c r="D879" s="7">
        <v>492</v>
      </c>
      <c r="E879" s="27">
        <v>250</v>
      </c>
      <c r="F879" s="27">
        <v>15</v>
      </c>
      <c r="G879" s="27">
        <v>7380</v>
      </c>
      <c r="H879" s="27">
        <v>6273</v>
      </c>
      <c r="I879" s="27">
        <v>1353</v>
      </c>
      <c r="J879" s="7" t="s">
        <v>225</v>
      </c>
    </row>
    <row r="880" spans="1:10" x14ac:dyDescent="0.25">
      <c r="A880" s="7" t="s">
        <v>211</v>
      </c>
      <c r="B880" s="7" t="s">
        <v>230</v>
      </c>
      <c r="C880" s="7" t="s">
        <v>238</v>
      </c>
      <c r="D880" s="7">
        <v>267</v>
      </c>
      <c r="E880" s="27">
        <v>250</v>
      </c>
      <c r="F880" s="27">
        <v>20</v>
      </c>
      <c r="G880" s="27">
        <v>5340</v>
      </c>
      <c r="H880" s="27">
        <v>4539</v>
      </c>
      <c r="I880" s="27">
        <v>1869</v>
      </c>
      <c r="J880" s="7" t="s">
        <v>229</v>
      </c>
    </row>
    <row r="881" spans="1:10" hidden="1" x14ac:dyDescent="0.25">
      <c r="A881" s="7" t="s">
        <v>216</v>
      </c>
      <c r="B881" s="7" t="s">
        <v>215</v>
      </c>
      <c r="C881" s="7" t="s">
        <v>238</v>
      </c>
      <c r="D881" s="7">
        <v>1175</v>
      </c>
      <c r="E881" s="27">
        <v>250</v>
      </c>
      <c r="F881" s="27">
        <v>15</v>
      </c>
      <c r="G881" s="27">
        <v>17625</v>
      </c>
      <c r="H881" s="27">
        <v>14981.25</v>
      </c>
      <c r="I881" s="27">
        <v>3231.25</v>
      </c>
      <c r="J881" s="7" t="s">
        <v>234</v>
      </c>
    </row>
    <row r="882" spans="1:10" hidden="1" x14ac:dyDescent="0.25">
      <c r="A882" s="7" t="s">
        <v>224</v>
      </c>
      <c r="B882" s="7" t="s">
        <v>212</v>
      </c>
      <c r="C882" s="7" t="s">
        <v>238</v>
      </c>
      <c r="D882" s="7">
        <v>2954</v>
      </c>
      <c r="E882" s="27">
        <v>250</v>
      </c>
      <c r="F882" s="27">
        <v>125</v>
      </c>
      <c r="G882" s="27">
        <v>369250</v>
      </c>
      <c r="H882" s="27">
        <v>313862.5</v>
      </c>
      <c r="I882" s="27">
        <v>-40617.5</v>
      </c>
      <c r="J882" s="7" t="s">
        <v>235</v>
      </c>
    </row>
    <row r="883" spans="1:10" hidden="1" x14ac:dyDescent="0.25">
      <c r="A883" s="7" t="s">
        <v>224</v>
      </c>
      <c r="B883" s="7" t="s">
        <v>215</v>
      </c>
      <c r="C883" s="7" t="s">
        <v>238</v>
      </c>
      <c r="D883" s="7">
        <v>552</v>
      </c>
      <c r="E883" s="27">
        <v>250</v>
      </c>
      <c r="F883" s="27">
        <v>125</v>
      </c>
      <c r="G883" s="27">
        <v>69000</v>
      </c>
      <c r="H883" s="27">
        <v>58650</v>
      </c>
      <c r="I883" s="27">
        <v>-7590</v>
      </c>
      <c r="J883" s="7" t="s">
        <v>242</v>
      </c>
    </row>
    <row r="884" spans="1:10" hidden="1" x14ac:dyDescent="0.25">
      <c r="A884" s="7" t="s">
        <v>211</v>
      </c>
      <c r="B884" s="7" t="s">
        <v>217</v>
      </c>
      <c r="C884" s="7" t="s">
        <v>238</v>
      </c>
      <c r="D884" s="7">
        <v>293</v>
      </c>
      <c r="E884" s="27">
        <v>250</v>
      </c>
      <c r="F884" s="27">
        <v>20</v>
      </c>
      <c r="G884" s="27">
        <v>5860</v>
      </c>
      <c r="H884" s="27">
        <v>4981</v>
      </c>
      <c r="I884" s="27">
        <v>2051</v>
      </c>
      <c r="J884" s="7" t="s">
        <v>220</v>
      </c>
    </row>
    <row r="885" spans="1:10" hidden="1" x14ac:dyDescent="0.25">
      <c r="A885" s="7" t="s">
        <v>226</v>
      </c>
      <c r="B885" s="7" t="s">
        <v>217</v>
      </c>
      <c r="C885" s="7" t="s">
        <v>240</v>
      </c>
      <c r="D885" s="7">
        <v>2475</v>
      </c>
      <c r="E885" s="27">
        <v>260</v>
      </c>
      <c r="F885" s="27">
        <v>300</v>
      </c>
      <c r="G885" s="27">
        <v>742500</v>
      </c>
      <c r="H885" s="27">
        <v>631125</v>
      </c>
      <c r="I885" s="27">
        <v>12375</v>
      </c>
      <c r="J885" s="7" t="s">
        <v>222</v>
      </c>
    </row>
    <row r="886" spans="1:10" hidden="1" x14ac:dyDescent="0.25">
      <c r="A886" s="7" t="s">
        <v>226</v>
      </c>
      <c r="B886" s="7" t="s">
        <v>219</v>
      </c>
      <c r="C886" s="7" t="s">
        <v>240</v>
      </c>
      <c r="D886" s="7">
        <v>546</v>
      </c>
      <c r="E886" s="27">
        <v>260</v>
      </c>
      <c r="F886" s="27">
        <v>300</v>
      </c>
      <c r="G886" s="27">
        <v>163800</v>
      </c>
      <c r="H886" s="27">
        <v>139230</v>
      </c>
      <c r="I886" s="27">
        <v>2730</v>
      </c>
      <c r="J886" s="7" t="s">
        <v>234</v>
      </c>
    </row>
    <row r="887" spans="1:10" hidden="1" x14ac:dyDescent="0.25">
      <c r="A887" s="7" t="s">
        <v>211</v>
      </c>
      <c r="B887" s="7" t="s">
        <v>219</v>
      </c>
      <c r="C887" s="7" t="s">
        <v>221</v>
      </c>
      <c r="D887" s="7">
        <v>1368</v>
      </c>
      <c r="E887" s="27">
        <v>5</v>
      </c>
      <c r="F887" s="27">
        <v>7</v>
      </c>
      <c r="G887" s="27">
        <v>9576</v>
      </c>
      <c r="H887" s="27">
        <v>8139.6</v>
      </c>
      <c r="I887" s="27">
        <v>1299.6000000000004</v>
      </c>
      <c r="J887" s="7" t="s">
        <v>232</v>
      </c>
    </row>
    <row r="888" spans="1:10" hidden="1" x14ac:dyDescent="0.25">
      <c r="A888" s="7" t="s">
        <v>211</v>
      </c>
      <c r="B888" s="7" t="s">
        <v>212</v>
      </c>
      <c r="C888" s="7" t="s">
        <v>231</v>
      </c>
      <c r="D888" s="7">
        <v>723</v>
      </c>
      <c r="E888" s="27">
        <v>10</v>
      </c>
      <c r="F888" s="27">
        <v>7</v>
      </c>
      <c r="G888" s="27">
        <v>5061</v>
      </c>
      <c r="H888" s="27">
        <v>4301.8500000000004</v>
      </c>
      <c r="I888" s="27">
        <v>686.85000000000014</v>
      </c>
      <c r="J888" s="7" t="s">
        <v>239</v>
      </c>
    </row>
    <row r="889" spans="1:10" x14ac:dyDescent="0.25">
      <c r="A889" s="7" t="s">
        <v>223</v>
      </c>
      <c r="B889" s="7" t="s">
        <v>230</v>
      </c>
      <c r="C889" s="7" t="s">
        <v>238</v>
      </c>
      <c r="D889" s="7">
        <v>1806</v>
      </c>
      <c r="E889" s="27">
        <v>250</v>
      </c>
      <c r="F889" s="27">
        <v>12</v>
      </c>
      <c r="G889" s="27">
        <v>21672</v>
      </c>
      <c r="H889" s="27">
        <v>18421.2</v>
      </c>
      <c r="I889" s="27">
        <v>13003.2</v>
      </c>
      <c r="J889" s="7" t="s">
        <v>241</v>
      </c>
    </row>
    <row r="891" spans="1:10" x14ac:dyDescent="0.25">
      <c r="A891" s="40" t="s">
        <v>247</v>
      </c>
      <c r="B891" s="40"/>
    </row>
    <row r="892" spans="1:10" x14ac:dyDescent="0.25">
      <c r="A892" s="40"/>
      <c r="B892" s="40"/>
    </row>
    <row r="893" spans="1:10" x14ac:dyDescent="0.25">
      <c r="G893">
        <v>1</v>
      </c>
    </row>
    <row r="894" spans="1:10" x14ac:dyDescent="0.25">
      <c r="A894" t="s">
        <v>248</v>
      </c>
    </row>
    <row r="895" spans="1:10" x14ac:dyDescent="0.25">
      <c r="A895" t="s">
        <v>249</v>
      </c>
    </row>
    <row r="897" spans="1:6" x14ac:dyDescent="0.25">
      <c r="A897" s="36" t="s">
        <v>254</v>
      </c>
    </row>
    <row r="898" spans="1:6" ht="30" customHeight="1" x14ac:dyDescent="0.25">
      <c r="A898" s="36" t="s">
        <v>255</v>
      </c>
    </row>
    <row r="900" spans="1:6" x14ac:dyDescent="0.25">
      <c r="A900" s="38" t="s">
        <v>256</v>
      </c>
      <c r="B900" s="38"/>
      <c r="C900" s="38"/>
      <c r="D900" s="37"/>
      <c r="E900" s="39"/>
      <c r="F900" s="37"/>
    </row>
  </sheetData>
  <sortState xmlns:xlrd2="http://schemas.microsoft.com/office/spreadsheetml/2017/richdata2" ref="A163:A175">
    <sortCondition ref="A163"/>
  </sortState>
  <mergeCells count="4">
    <mergeCell ref="A1:B2"/>
    <mergeCell ref="A156:B157"/>
    <mergeCell ref="A891:B892"/>
    <mergeCell ref="E159:F160"/>
  </mergeCells>
  <conditionalFormatting sqref="D8">
    <cfRule type="iconSet" priority="12">
      <iconSet iconSet="3Symbols2" showValue="0">
        <cfvo type="percent" val="0"/>
        <cfvo type="percent" val="33"/>
        <cfvo type="percent" val="67"/>
      </iconSet>
    </cfRule>
  </conditionalFormatting>
  <conditionalFormatting sqref="G24">
    <cfRule type="iconSet" priority="11">
      <iconSet iconSet="3Symbols2" showValue="0">
        <cfvo type="percent" val="0"/>
        <cfvo type="percent" val="33"/>
        <cfvo type="percent" val="67"/>
      </iconSet>
    </cfRule>
  </conditionalFormatting>
  <conditionalFormatting sqref="D148">
    <cfRule type="iconSet" priority="10">
      <iconSet iconSet="3Symbols2" showValue="0">
        <cfvo type="percent" val="0"/>
        <cfvo type="percent" val="33"/>
        <cfvo type="percent" val="67"/>
      </iconSet>
    </cfRule>
  </conditionalFormatting>
  <conditionalFormatting sqref="D149">
    <cfRule type="iconSet" priority="9">
      <iconSet iconSet="3Symbols2" showValue="0">
        <cfvo type="percent" val="0"/>
        <cfvo type="percent" val="33"/>
        <cfvo type="percent" val="67"/>
      </iconSet>
    </cfRule>
  </conditionalFormatting>
  <conditionalFormatting sqref="D150">
    <cfRule type="iconSet" priority="8">
      <iconSet iconSet="3Symbols2" showValue="0">
        <cfvo type="percent" val="0"/>
        <cfvo type="percent" val="33"/>
        <cfvo type="percent" val="67"/>
      </iconSet>
    </cfRule>
  </conditionalFormatting>
  <conditionalFormatting sqref="D151">
    <cfRule type="iconSet" priority="7">
      <iconSet iconSet="3Symbols2" showValue="0">
        <cfvo type="percent" val="0"/>
        <cfvo type="percent" val="33"/>
        <cfvo type="percent" val="67"/>
      </iconSet>
    </cfRule>
  </conditionalFormatting>
  <conditionalFormatting sqref="D152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D153">
    <cfRule type="iconSet" priority="5">
      <iconSet iconSet="3Symbols2" showValue="0">
        <cfvo type="percent" val="0"/>
        <cfvo type="percent" val="33"/>
        <cfvo type="percent" val="67"/>
      </iconSet>
    </cfRule>
  </conditionalFormatting>
  <conditionalFormatting sqref="B162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C179">
    <cfRule type="iconSet" priority="3">
      <iconSet iconSet="3Symbols2" showValue="0">
        <cfvo type="percent" val="0"/>
        <cfvo type="percent" val="33"/>
        <cfvo type="percent" val="67"/>
      </iconSet>
    </cfRule>
  </conditionalFormatting>
  <conditionalFormatting sqref="K189">
    <cfRule type="iconSet" priority="2">
      <iconSet iconSet="3Symbols2" showValue="0">
        <cfvo type="percent" val="0"/>
        <cfvo type="percent" val="33"/>
        <cfvo type="percent" val="67"/>
      </iconSet>
    </cfRule>
  </conditionalFormatting>
  <conditionalFormatting sqref="G893">
    <cfRule type="iconSet" priority="1">
      <iconSet iconSet="3Symbols2" showValue="0">
        <cfvo type="percent" val="0"/>
        <cfvo type="percent" val="33"/>
        <cfvo type="percent" val="67"/>
      </iconSet>
    </cfRule>
  </conditionalFormatting>
  <hyperlinks>
    <hyperlink ref="A897" r:id="rId1" xr:uid="{00000000-0004-0000-0000-000000000000}"/>
    <hyperlink ref="A898" r:id="rId2" xr:uid="{00000000-0004-0000-00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íses">
                <anchor moveWithCells="1" sizeWithCells="1">
                  <from>
                    <xdr:col>10</xdr:col>
                    <xdr:colOff>457200</xdr:colOff>
                    <xdr:row>189</xdr:row>
                    <xdr:rowOff>9525</xdr:rowOff>
                  </from>
                  <to>
                    <xdr:col>11</xdr:col>
                    <xdr:colOff>438150</xdr:colOff>
                    <xdr:row>193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141"/>
  <sheetViews>
    <sheetView workbookViewId="0">
      <selection sqref="A1:J141"/>
    </sheetView>
  </sheetViews>
  <sheetFormatPr baseColWidth="10" defaultRowHeight="15" x14ac:dyDescent="0.25"/>
  <cols>
    <col min="1" max="1" width="17.7109375" customWidth="1"/>
    <col min="2" max="2" width="34.28515625" customWidth="1"/>
    <col min="3" max="3" width="22.28515625" bestFit="1" customWidth="1"/>
    <col min="4" max="4" width="20.42578125" bestFit="1" customWidth="1"/>
    <col min="5" max="5" width="21.28515625" customWidth="1"/>
    <col min="6" max="6" width="17" customWidth="1"/>
    <col min="7" max="7" width="14.5703125" customWidth="1"/>
    <col min="8" max="8" width="14.85546875" bestFit="1" customWidth="1"/>
    <col min="9" max="9" width="16" bestFit="1" customWidth="1"/>
  </cols>
  <sheetData>
    <row r="1" spans="1:10" ht="15.75" thickBot="1" x14ac:dyDescent="0.3">
      <c r="A1" s="28" t="s">
        <v>202</v>
      </c>
      <c r="B1" s="28" t="s">
        <v>246</v>
      </c>
      <c r="C1" s="28" t="s">
        <v>203</v>
      </c>
      <c r="D1" s="28" t="s">
        <v>204</v>
      </c>
      <c r="E1" s="29" t="s">
        <v>205</v>
      </c>
      <c r="F1" s="29" t="s">
        <v>206</v>
      </c>
      <c r="G1" s="29" t="s">
        <v>207</v>
      </c>
      <c r="H1" s="29" t="s">
        <v>208</v>
      </c>
      <c r="I1" s="29" t="s">
        <v>209</v>
      </c>
      <c r="J1" s="28" t="s">
        <v>210</v>
      </c>
    </row>
    <row r="2" spans="1:10" x14ac:dyDescent="0.25">
      <c r="A2" s="30" t="s">
        <v>211</v>
      </c>
      <c r="B2" s="30" t="s">
        <v>212</v>
      </c>
      <c r="C2" s="30" t="s">
        <v>213</v>
      </c>
      <c r="D2" s="30">
        <v>1618.5</v>
      </c>
      <c r="E2" s="31">
        <v>3</v>
      </c>
      <c r="F2" s="31">
        <v>20</v>
      </c>
      <c r="G2" s="31">
        <v>32370</v>
      </c>
      <c r="H2" s="31">
        <v>32370</v>
      </c>
      <c r="I2" s="31">
        <v>16185</v>
      </c>
      <c r="J2" s="30" t="s">
        <v>214</v>
      </c>
    </row>
    <row r="3" spans="1:10" x14ac:dyDescent="0.25">
      <c r="A3" s="32" t="s">
        <v>223</v>
      </c>
      <c r="B3" s="32" t="s">
        <v>212</v>
      </c>
      <c r="C3" s="32" t="s">
        <v>221</v>
      </c>
      <c r="D3" s="32">
        <v>2518</v>
      </c>
      <c r="E3" s="33">
        <v>5</v>
      </c>
      <c r="F3" s="33">
        <v>12</v>
      </c>
      <c r="G3" s="33">
        <v>30216</v>
      </c>
      <c r="H3" s="33">
        <v>30216</v>
      </c>
      <c r="I3" s="33">
        <v>22662</v>
      </c>
      <c r="J3" s="32" t="s">
        <v>218</v>
      </c>
    </row>
    <row r="4" spans="1:10" x14ac:dyDescent="0.25">
      <c r="A4" s="30" t="s">
        <v>224</v>
      </c>
      <c r="B4" s="30" t="s">
        <v>212</v>
      </c>
      <c r="C4" s="30" t="s">
        <v>221</v>
      </c>
      <c r="D4" s="30">
        <v>2665.5</v>
      </c>
      <c r="E4" s="31">
        <v>5</v>
      </c>
      <c r="F4" s="31">
        <v>125</v>
      </c>
      <c r="G4" s="31">
        <v>333187.5</v>
      </c>
      <c r="H4" s="31">
        <v>333187.5</v>
      </c>
      <c r="I4" s="31">
        <v>13327.5</v>
      </c>
      <c r="J4" s="30" t="s">
        <v>225</v>
      </c>
    </row>
    <row r="5" spans="1:10" x14ac:dyDescent="0.25">
      <c r="A5" s="32" t="s">
        <v>224</v>
      </c>
      <c r="B5" s="32" t="s">
        <v>212</v>
      </c>
      <c r="C5" s="32" t="s">
        <v>221</v>
      </c>
      <c r="D5" s="32">
        <v>345</v>
      </c>
      <c r="E5" s="33">
        <v>5</v>
      </c>
      <c r="F5" s="33">
        <v>125</v>
      </c>
      <c r="G5" s="33">
        <v>43125</v>
      </c>
      <c r="H5" s="33">
        <v>43125</v>
      </c>
      <c r="I5" s="33">
        <v>1725</v>
      </c>
      <c r="J5" s="32" t="s">
        <v>229</v>
      </c>
    </row>
    <row r="6" spans="1:10" x14ac:dyDescent="0.25">
      <c r="A6" s="30" t="s">
        <v>211</v>
      </c>
      <c r="B6" s="30" t="s">
        <v>212</v>
      </c>
      <c r="C6" s="30" t="s">
        <v>231</v>
      </c>
      <c r="D6" s="30">
        <v>292</v>
      </c>
      <c r="E6" s="31">
        <v>10</v>
      </c>
      <c r="F6" s="31">
        <v>20</v>
      </c>
      <c r="G6" s="31">
        <v>5840</v>
      </c>
      <c r="H6" s="31">
        <v>5840</v>
      </c>
      <c r="I6" s="31">
        <v>2920</v>
      </c>
      <c r="J6" s="30" t="s">
        <v>232</v>
      </c>
    </row>
    <row r="7" spans="1:10" x14ac:dyDescent="0.25">
      <c r="A7" s="32" t="s">
        <v>223</v>
      </c>
      <c r="B7" s="32" t="s">
        <v>212</v>
      </c>
      <c r="C7" s="32" t="s">
        <v>231</v>
      </c>
      <c r="D7" s="32">
        <v>2518</v>
      </c>
      <c r="E7" s="33">
        <v>10</v>
      </c>
      <c r="F7" s="33">
        <v>12</v>
      </c>
      <c r="G7" s="33">
        <v>30216</v>
      </c>
      <c r="H7" s="33">
        <v>30216</v>
      </c>
      <c r="I7" s="33">
        <v>22662</v>
      </c>
      <c r="J7" s="32" t="s">
        <v>218</v>
      </c>
    </row>
    <row r="8" spans="1:10" x14ac:dyDescent="0.25">
      <c r="A8" s="30" t="s">
        <v>211</v>
      </c>
      <c r="B8" s="30" t="s">
        <v>212</v>
      </c>
      <c r="C8" s="30" t="s">
        <v>231</v>
      </c>
      <c r="D8" s="30">
        <v>1725</v>
      </c>
      <c r="E8" s="31">
        <v>10</v>
      </c>
      <c r="F8" s="31">
        <v>350</v>
      </c>
      <c r="G8" s="31">
        <v>603750</v>
      </c>
      <c r="H8" s="31">
        <v>603750</v>
      </c>
      <c r="I8" s="31">
        <v>155250</v>
      </c>
      <c r="J8" s="30" t="s">
        <v>235</v>
      </c>
    </row>
    <row r="9" spans="1:10" x14ac:dyDescent="0.25">
      <c r="A9" s="32" t="s">
        <v>216</v>
      </c>
      <c r="B9" s="32" t="s">
        <v>212</v>
      </c>
      <c r="C9" s="32" t="s">
        <v>231</v>
      </c>
      <c r="D9" s="32">
        <v>2152</v>
      </c>
      <c r="E9" s="33">
        <v>10</v>
      </c>
      <c r="F9" s="33">
        <v>15</v>
      </c>
      <c r="G9" s="33">
        <v>32280</v>
      </c>
      <c r="H9" s="33">
        <v>32280</v>
      </c>
      <c r="I9" s="33">
        <v>10760</v>
      </c>
      <c r="J9" s="32" t="s">
        <v>236</v>
      </c>
    </row>
    <row r="10" spans="1:10" x14ac:dyDescent="0.25">
      <c r="A10" s="30" t="s">
        <v>211</v>
      </c>
      <c r="B10" s="30" t="s">
        <v>212</v>
      </c>
      <c r="C10" s="30" t="s">
        <v>231</v>
      </c>
      <c r="D10" s="30">
        <v>1817</v>
      </c>
      <c r="E10" s="31">
        <v>10</v>
      </c>
      <c r="F10" s="31">
        <v>20</v>
      </c>
      <c r="G10" s="31">
        <v>36340</v>
      </c>
      <c r="H10" s="31">
        <v>36340</v>
      </c>
      <c r="I10" s="31">
        <v>18170</v>
      </c>
      <c r="J10" s="30" t="s">
        <v>220</v>
      </c>
    </row>
    <row r="11" spans="1:10" x14ac:dyDescent="0.25">
      <c r="A11" s="32" t="s">
        <v>224</v>
      </c>
      <c r="B11" s="32" t="s">
        <v>212</v>
      </c>
      <c r="C11" s="32" t="s">
        <v>237</v>
      </c>
      <c r="D11" s="32">
        <v>345</v>
      </c>
      <c r="E11" s="33">
        <v>120</v>
      </c>
      <c r="F11" s="33">
        <v>125</v>
      </c>
      <c r="G11" s="33">
        <v>43125</v>
      </c>
      <c r="H11" s="33">
        <v>43125</v>
      </c>
      <c r="I11" s="33">
        <v>1725</v>
      </c>
      <c r="J11" s="32" t="s">
        <v>229</v>
      </c>
    </row>
    <row r="12" spans="1:10" x14ac:dyDescent="0.25">
      <c r="A12" s="30" t="s">
        <v>226</v>
      </c>
      <c r="B12" s="30" t="s">
        <v>212</v>
      </c>
      <c r="C12" s="30" t="s">
        <v>238</v>
      </c>
      <c r="D12" s="30">
        <v>2001</v>
      </c>
      <c r="E12" s="31">
        <v>250</v>
      </c>
      <c r="F12" s="31">
        <v>300</v>
      </c>
      <c r="G12" s="31">
        <v>600300</v>
      </c>
      <c r="H12" s="31">
        <v>600300</v>
      </c>
      <c r="I12" s="31">
        <v>100050</v>
      </c>
      <c r="J12" s="30" t="s">
        <v>232</v>
      </c>
    </row>
    <row r="13" spans="1:10" x14ac:dyDescent="0.25">
      <c r="A13" s="32" t="s">
        <v>211</v>
      </c>
      <c r="B13" s="32" t="s">
        <v>212</v>
      </c>
      <c r="C13" s="32" t="s">
        <v>238</v>
      </c>
      <c r="D13" s="32">
        <v>1817</v>
      </c>
      <c r="E13" s="33">
        <v>250</v>
      </c>
      <c r="F13" s="33">
        <v>20</v>
      </c>
      <c r="G13" s="33">
        <v>36340</v>
      </c>
      <c r="H13" s="33">
        <v>36340</v>
      </c>
      <c r="I13" s="33">
        <v>18170</v>
      </c>
      <c r="J13" s="32" t="s">
        <v>220</v>
      </c>
    </row>
    <row r="14" spans="1:10" x14ac:dyDescent="0.25">
      <c r="A14" s="30" t="s">
        <v>211</v>
      </c>
      <c r="B14" s="30" t="s">
        <v>212</v>
      </c>
      <c r="C14" s="30" t="s">
        <v>238</v>
      </c>
      <c r="D14" s="30">
        <v>1326</v>
      </c>
      <c r="E14" s="31">
        <v>250</v>
      </c>
      <c r="F14" s="31">
        <v>7</v>
      </c>
      <c r="G14" s="31">
        <v>9282</v>
      </c>
      <c r="H14" s="31">
        <v>9189.18</v>
      </c>
      <c r="I14" s="31">
        <v>2559.1800000000003</v>
      </c>
      <c r="J14" s="30" t="s">
        <v>222</v>
      </c>
    </row>
    <row r="15" spans="1:10" x14ac:dyDescent="0.25">
      <c r="A15" s="32" t="s">
        <v>223</v>
      </c>
      <c r="B15" s="32" t="s">
        <v>212</v>
      </c>
      <c r="C15" s="32" t="s">
        <v>213</v>
      </c>
      <c r="D15" s="32">
        <v>1445</v>
      </c>
      <c r="E15" s="33">
        <v>3</v>
      </c>
      <c r="F15" s="33">
        <v>12</v>
      </c>
      <c r="G15" s="33">
        <v>17340</v>
      </c>
      <c r="H15" s="33">
        <v>17166.599999999999</v>
      </c>
      <c r="I15" s="33">
        <v>12831.599999999999</v>
      </c>
      <c r="J15" s="32" t="s">
        <v>228</v>
      </c>
    </row>
    <row r="16" spans="1:10" x14ac:dyDescent="0.25">
      <c r="A16" s="30" t="s">
        <v>211</v>
      </c>
      <c r="B16" s="30" t="s">
        <v>212</v>
      </c>
      <c r="C16" s="30" t="s">
        <v>221</v>
      </c>
      <c r="D16" s="30">
        <v>1830</v>
      </c>
      <c r="E16" s="31">
        <v>5</v>
      </c>
      <c r="F16" s="31">
        <v>7</v>
      </c>
      <c r="G16" s="31">
        <v>12810</v>
      </c>
      <c r="H16" s="31">
        <v>12681.9</v>
      </c>
      <c r="I16" s="31">
        <v>3531.8999999999996</v>
      </c>
      <c r="J16" s="30" t="s">
        <v>227</v>
      </c>
    </row>
    <row r="17" spans="1:10" x14ac:dyDescent="0.25">
      <c r="A17" s="32" t="s">
        <v>224</v>
      </c>
      <c r="B17" s="32" t="s">
        <v>212</v>
      </c>
      <c r="C17" s="32" t="s">
        <v>237</v>
      </c>
      <c r="D17" s="32">
        <v>923</v>
      </c>
      <c r="E17" s="33">
        <v>120</v>
      </c>
      <c r="F17" s="33">
        <v>125</v>
      </c>
      <c r="G17" s="33">
        <v>115375</v>
      </c>
      <c r="H17" s="33">
        <v>114221.25</v>
      </c>
      <c r="I17" s="33">
        <v>3461.25</v>
      </c>
      <c r="J17" s="32" t="s">
        <v>227</v>
      </c>
    </row>
    <row r="18" spans="1:10" x14ac:dyDescent="0.25">
      <c r="A18" s="30" t="s">
        <v>211</v>
      </c>
      <c r="B18" s="30" t="s">
        <v>212</v>
      </c>
      <c r="C18" s="30" t="s">
        <v>237</v>
      </c>
      <c r="D18" s="30">
        <v>2092</v>
      </c>
      <c r="E18" s="31">
        <v>120</v>
      </c>
      <c r="F18" s="31">
        <v>7</v>
      </c>
      <c r="G18" s="31">
        <v>14644</v>
      </c>
      <c r="H18" s="31">
        <v>14497.56</v>
      </c>
      <c r="I18" s="31">
        <v>4037.5599999999995</v>
      </c>
      <c r="J18" s="30" t="s">
        <v>235</v>
      </c>
    </row>
    <row r="19" spans="1:10" x14ac:dyDescent="0.25">
      <c r="A19" s="32" t="s">
        <v>211</v>
      </c>
      <c r="B19" s="32" t="s">
        <v>212</v>
      </c>
      <c r="C19" s="32" t="s">
        <v>238</v>
      </c>
      <c r="D19" s="32">
        <v>943.5</v>
      </c>
      <c r="E19" s="33">
        <v>250</v>
      </c>
      <c r="F19" s="33">
        <v>350</v>
      </c>
      <c r="G19" s="33">
        <v>330225</v>
      </c>
      <c r="H19" s="33">
        <v>326922.75</v>
      </c>
      <c r="I19" s="33">
        <v>81612.75</v>
      </c>
      <c r="J19" s="32" t="s">
        <v>239</v>
      </c>
    </row>
    <row r="20" spans="1:10" x14ac:dyDescent="0.25">
      <c r="A20" s="30" t="s">
        <v>224</v>
      </c>
      <c r="B20" s="30" t="s">
        <v>212</v>
      </c>
      <c r="C20" s="30" t="s">
        <v>213</v>
      </c>
      <c r="D20" s="30">
        <v>742.5</v>
      </c>
      <c r="E20" s="31">
        <v>3</v>
      </c>
      <c r="F20" s="31">
        <v>125</v>
      </c>
      <c r="G20" s="31">
        <v>92812.5</v>
      </c>
      <c r="H20" s="31">
        <v>90956.25</v>
      </c>
      <c r="I20" s="31">
        <v>1856.25</v>
      </c>
      <c r="J20" s="30" t="s">
        <v>239</v>
      </c>
    </row>
    <row r="21" spans="1:10" x14ac:dyDescent="0.25">
      <c r="A21" s="32" t="s">
        <v>223</v>
      </c>
      <c r="B21" s="32" t="s">
        <v>212</v>
      </c>
      <c r="C21" s="32" t="s">
        <v>213</v>
      </c>
      <c r="D21" s="32">
        <v>1295</v>
      </c>
      <c r="E21" s="33">
        <v>3</v>
      </c>
      <c r="F21" s="33">
        <v>12</v>
      </c>
      <c r="G21" s="33">
        <v>15540</v>
      </c>
      <c r="H21" s="33">
        <v>15229.2</v>
      </c>
      <c r="I21" s="33">
        <v>11344.2</v>
      </c>
      <c r="J21" s="32" t="s">
        <v>234</v>
      </c>
    </row>
    <row r="22" spans="1:10" x14ac:dyDescent="0.25">
      <c r="A22" s="30" t="s">
        <v>211</v>
      </c>
      <c r="B22" s="30" t="s">
        <v>212</v>
      </c>
      <c r="C22" s="30" t="s">
        <v>213</v>
      </c>
      <c r="D22" s="30">
        <v>2852</v>
      </c>
      <c r="E22" s="31">
        <v>3</v>
      </c>
      <c r="F22" s="31">
        <v>350</v>
      </c>
      <c r="G22" s="31">
        <v>998200</v>
      </c>
      <c r="H22" s="31">
        <v>978236</v>
      </c>
      <c r="I22" s="31">
        <v>236716</v>
      </c>
      <c r="J22" s="30" t="s">
        <v>220</v>
      </c>
    </row>
    <row r="23" spans="1:10" x14ac:dyDescent="0.25">
      <c r="A23" s="32" t="s">
        <v>216</v>
      </c>
      <c r="B23" s="32" t="s">
        <v>212</v>
      </c>
      <c r="C23" s="32" t="s">
        <v>231</v>
      </c>
      <c r="D23" s="32">
        <v>2363</v>
      </c>
      <c r="E23" s="33">
        <v>10</v>
      </c>
      <c r="F23" s="33">
        <v>15</v>
      </c>
      <c r="G23" s="33">
        <v>35445</v>
      </c>
      <c r="H23" s="33">
        <v>34736.1</v>
      </c>
      <c r="I23" s="33">
        <v>11106.099999999999</v>
      </c>
      <c r="J23" s="32" t="s">
        <v>232</v>
      </c>
    </row>
    <row r="24" spans="1:10" x14ac:dyDescent="0.25">
      <c r="A24" s="30" t="s">
        <v>223</v>
      </c>
      <c r="B24" s="30" t="s">
        <v>212</v>
      </c>
      <c r="C24" s="30" t="s">
        <v>231</v>
      </c>
      <c r="D24" s="30">
        <v>1295</v>
      </c>
      <c r="E24" s="31">
        <v>10</v>
      </c>
      <c r="F24" s="31">
        <v>12</v>
      </c>
      <c r="G24" s="31">
        <v>15540</v>
      </c>
      <c r="H24" s="31">
        <v>15229.2</v>
      </c>
      <c r="I24" s="31">
        <v>11344.2</v>
      </c>
      <c r="J24" s="30" t="s">
        <v>234</v>
      </c>
    </row>
    <row r="25" spans="1:10" x14ac:dyDescent="0.25">
      <c r="A25" s="32" t="s">
        <v>226</v>
      </c>
      <c r="B25" s="32" t="s">
        <v>212</v>
      </c>
      <c r="C25" s="32" t="s">
        <v>231</v>
      </c>
      <c r="D25" s="32">
        <v>1916</v>
      </c>
      <c r="E25" s="33">
        <v>10</v>
      </c>
      <c r="F25" s="33">
        <v>300</v>
      </c>
      <c r="G25" s="33">
        <v>574800</v>
      </c>
      <c r="H25" s="33">
        <v>563304</v>
      </c>
      <c r="I25" s="33">
        <v>84304</v>
      </c>
      <c r="J25" s="32" t="s">
        <v>220</v>
      </c>
    </row>
    <row r="26" spans="1:10" x14ac:dyDescent="0.25">
      <c r="A26" s="30" t="s">
        <v>211</v>
      </c>
      <c r="B26" s="30" t="s">
        <v>212</v>
      </c>
      <c r="C26" s="30" t="s">
        <v>231</v>
      </c>
      <c r="D26" s="30">
        <v>2852</v>
      </c>
      <c r="E26" s="31">
        <v>10</v>
      </c>
      <c r="F26" s="31">
        <v>350</v>
      </c>
      <c r="G26" s="31">
        <v>998200</v>
      </c>
      <c r="H26" s="31">
        <v>978236</v>
      </c>
      <c r="I26" s="31">
        <v>236716</v>
      </c>
      <c r="J26" s="30" t="s">
        <v>220</v>
      </c>
    </row>
    <row r="27" spans="1:10" x14ac:dyDescent="0.25">
      <c r="A27" s="32" t="s">
        <v>224</v>
      </c>
      <c r="B27" s="32" t="s">
        <v>212</v>
      </c>
      <c r="C27" s="32" t="s">
        <v>231</v>
      </c>
      <c r="D27" s="32">
        <v>2729</v>
      </c>
      <c r="E27" s="33">
        <v>10</v>
      </c>
      <c r="F27" s="33">
        <v>125</v>
      </c>
      <c r="G27" s="33">
        <v>341125</v>
      </c>
      <c r="H27" s="33">
        <v>334302.5</v>
      </c>
      <c r="I27" s="33">
        <v>6822.5</v>
      </c>
      <c r="J27" s="32" t="s">
        <v>220</v>
      </c>
    </row>
    <row r="28" spans="1:10" x14ac:dyDescent="0.25">
      <c r="A28" s="30" t="s">
        <v>224</v>
      </c>
      <c r="B28" s="30" t="s">
        <v>212</v>
      </c>
      <c r="C28" s="30" t="s">
        <v>238</v>
      </c>
      <c r="D28" s="30">
        <v>2729</v>
      </c>
      <c r="E28" s="31">
        <v>250</v>
      </c>
      <c r="F28" s="31">
        <v>125</v>
      </c>
      <c r="G28" s="31">
        <v>341125</v>
      </c>
      <c r="H28" s="31">
        <v>334302.5</v>
      </c>
      <c r="I28" s="31">
        <v>6822.5</v>
      </c>
      <c r="J28" s="30" t="s">
        <v>220</v>
      </c>
    </row>
    <row r="29" spans="1:10" x14ac:dyDescent="0.25">
      <c r="A29" s="32" t="s">
        <v>226</v>
      </c>
      <c r="B29" s="32" t="s">
        <v>212</v>
      </c>
      <c r="C29" s="32" t="s">
        <v>240</v>
      </c>
      <c r="D29" s="32">
        <v>1916</v>
      </c>
      <c r="E29" s="33">
        <v>260</v>
      </c>
      <c r="F29" s="33">
        <v>300</v>
      </c>
      <c r="G29" s="33">
        <v>574800</v>
      </c>
      <c r="H29" s="33">
        <v>563304</v>
      </c>
      <c r="I29" s="33">
        <v>84304</v>
      </c>
      <c r="J29" s="32" t="s">
        <v>220</v>
      </c>
    </row>
    <row r="30" spans="1:10" x14ac:dyDescent="0.25">
      <c r="A30" s="30" t="s">
        <v>223</v>
      </c>
      <c r="B30" s="30" t="s">
        <v>212</v>
      </c>
      <c r="C30" s="30" t="s">
        <v>213</v>
      </c>
      <c r="D30" s="30">
        <v>908</v>
      </c>
      <c r="E30" s="31">
        <v>3</v>
      </c>
      <c r="F30" s="31">
        <v>12</v>
      </c>
      <c r="G30" s="31">
        <v>10896</v>
      </c>
      <c r="H30" s="31">
        <v>10569.12</v>
      </c>
      <c r="I30" s="31">
        <v>7845.1200000000008</v>
      </c>
      <c r="J30" s="30" t="s">
        <v>236</v>
      </c>
    </row>
    <row r="31" spans="1:10" x14ac:dyDescent="0.25">
      <c r="A31" s="32" t="s">
        <v>224</v>
      </c>
      <c r="B31" s="32" t="s">
        <v>212</v>
      </c>
      <c r="C31" s="32" t="s">
        <v>231</v>
      </c>
      <c r="D31" s="32">
        <v>1774</v>
      </c>
      <c r="E31" s="33">
        <v>10</v>
      </c>
      <c r="F31" s="33">
        <v>125</v>
      </c>
      <c r="G31" s="33">
        <v>221750</v>
      </c>
      <c r="H31" s="33">
        <v>215097.5</v>
      </c>
      <c r="I31" s="33">
        <v>2217.5</v>
      </c>
      <c r="J31" s="32" t="s">
        <v>222</v>
      </c>
    </row>
    <row r="32" spans="1:10" x14ac:dyDescent="0.25">
      <c r="A32" s="30" t="s">
        <v>224</v>
      </c>
      <c r="B32" s="30" t="s">
        <v>212</v>
      </c>
      <c r="C32" s="30" t="s">
        <v>231</v>
      </c>
      <c r="D32" s="30">
        <v>2009</v>
      </c>
      <c r="E32" s="31">
        <v>10</v>
      </c>
      <c r="F32" s="31">
        <v>125</v>
      </c>
      <c r="G32" s="31">
        <v>251125</v>
      </c>
      <c r="H32" s="31">
        <v>243591.25</v>
      </c>
      <c r="I32" s="31">
        <v>2511.25</v>
      </c>
      <c r="J32" s="30" t="s">
        <v>234</v>
      </c>
    </row>
    <row r="33" spans="1:10" x14ac:dyDescent="0.25">
      <c r="A33" s="32" t="s">
        <v>224</v>
      </c>
      <c r="B33" s="32" t="s">
        <v>212</v>
      </c>
      <c r="C33" s="32" t="s">
        <v>237</v>
      </c>
      <c r="D33" s="32">
        <v>2009</v>
      </c>
      <c r="E33" s="33">
        <v>120</v>
      </c>
      <c r="F33" s="33">
        <v>125</v>
      </c>
      <c r="G33" s="33">
        <v>251125</v>
      </c>
      <c r="H33" s="33">
        <v>243591.25</v>
      </c>
      <c r="I33" s="33">
        <v>2511.25</v>
      </c>
      <c r="J33" s="32" t="s">
        <v>234</v>
      </c>
    </row>
    <row r="34" spans="1:10" x14ac:dyDescent="0.25">
      <c r="A34" s="30" t="s">
        <v>226</v>
      </c>
      <c r="B34" s="30" t="s">
        <v>212</v>
      </c>
      <c r="C34" s="30" t="s">
        <v>238</v>
      </c>
      <c r="D34" s="30">
        <v>1874</v>
      </c>
      <c r="E34" s="31">
        <v>250</v>
      </c>
      <c r="F34" s="31">
        <v>300</v>
      </c>
      <c r="G34" s="31">
        <v>562200</v>
      </c>
      <c r="H34" s="31">
        <v>545334</v>
      </c>
      <c r="I34" s="31">
        <v>76834</v>
      </c>
      <c r="J34" s="30" t="s">
        <v>227</v>
      </c>
    </row>
    <row r="35" spans="1:10" x14ac:dyDescent="0.25">
      <c r="A35" s="32" t="s">
        <v>211</v>
      </c>
      <c r="B35" s="32" t="s">
        <v>212</v>
      </c>
      <c r="C35" s="32" t="s">
        <v>213</v>
      </c>
      <c r="D35" s="32">
        <v>831</v>
      </c>
      <c r="E35" s="33">
        <v>3</v>
      </c>
      <c r="F35" s="33">
        <v>20</v>
      </c>
      <c r="G35" s="33">
        <v>16620</v>
      </c>
      <c r="H35" s="33">
        <v>16121.4</v>
      </c>
      <c r="I35" s="33">
        <v>7811.4</v>
      </c>
      <c r="J35" s="32" t="s">
        <v>241</v>
      </c>
    </row>
    <row r="36" spans="1:10" x14ac:dyDescent="0.25">
      <c r="A36" s="30" t="s">
        <v>211</v>
      </c>
      <c r="B36" s="30" t="s">
        <v>212</v>
      </c>
      <c r="C36" s="30" t="s">
        <v>237</v>
      </c>
      <c r="D36" s="30">
        <v>3850.5</v>
      </c>
      <c r="E36" s="31">
        <v>120</v>
      </c>
      <c r="F36" s="31">
        <v>20</v>
      </c>
      <c r="G36" s="31">
        <v>77010</v>
      </c>
      <c r="H36" s="31">
        <v>74699.700000000012</v>
      </c>
      <c r="I36" s="31">
        <v>36194.700000000004</v>
      </c>
      <c r="J36" s="30" t="s">
        <v>239</v>
      </c>
    </row>
    <row r="37" spans="1:10" x14ac:dyDescent="0.25">
      <c r="A37" s="32" t="s">
        <v>211</v>
      </c>
      <c r="B37" s="32" t="s">
        <v>212</v>
      </c>
      <c r="C37" s="32" t="s">
        <v>213</v>
      </c>
      <c r="D37" s="32">
        <v>2851</v>
      </c>
      <c r="E37" s="33">
        <v>3</v>
      </c>
      <c r="F37" s="33">
        <v>7</v>
      </c>
      <c r="G37" s="33">
        <v>19957</v>
      </c>
      <c r="H37" s="33">
        <v>19158.72</v>
      </c>
      <c r="I37" s="33">
        <v>4903.7200000000012</v>
      </c>
      <c r="J37" s="32" t="s">
        <v>229</v>
      </c>
    </row>
    <row r="38" spans="1:10" x14ac:dyDescent="0.25">
      <c r="A38" s="30" t="s">
        <v>216</v>
      </c>
      <c r="B38" s="30" t="s">
        <v>212</v>
      </c>
      <c r="C38" s="30" t="s">
        <v>221</v>
      </c>
      <c r="D38" s="30">
        <v>1967</v>
      </c>
      <c r="E38" s="31">
        <v>5</v>
      </c>
      <c r="F38" s="31">
        <v>15</v>
      </c>
      <c r="G38" s="31">
        <v>29505</v>
      </c>
      <c r="H38" s="31">
        <v>28324.799999999999</v>
      </c>
      <c r="I38" s="31">
        <v>8654.7999999999993</v>
      </c>
      <c r="J38" s="30" t="s">
        <v>222</v>
      </c>
    </row>
    <row r="39" spans="1:10" x14ac:dyDescent="0.25">
      <c r="A39" s="32" t="s">
        <v>211</v>
      </c>
      <c r="B39" s="32" t="s">
        <v>212</v>
      </c>
      <c r="C39" s="32" t="s">
        <v>221</v>
      </c>
      <c r="D39" s="32">
        <v>2851</v>
      </c>
      <c r="E39" s="33">
        <v>5</v>
      </c>
      <c r="F39" s="33">
        <v>7</v>
      </c>
      <c r="G39" s="33">
        <v>19957</v>
      </c>
      <c r="H39" s="33">
        <v>19158.72</v>
      </c>
      <c r="I39" s="33">
        <v>4903.7200000000012</v>
      </c>
      <c r="J39" s="32" t="s">
        <v>229</v>
      </c>
    </row>
    <row r="40" spans="1:10" x14ac:dyDescent="0.25">
      <c r="A40" s="30" t="s">
        <v>211</v>
      </c>
      <c r="B40" s="30" t="s">
        <v>212</v>
      </c>
      <c r="C40" s="30" t="s">
        <v>231</v>
      </c>
      <c r="D40" s="30">
        <v>4251</v>
      </c>
      <c r="E40" s="31">
        <v>10</v>
      </c>
      <c r="F40" s="31">
        <v>7</v>
      </c>
      <c r="G40" s="31">
        <v>29757</v>
      </c>
      <c r="H40" s="31">
        <v>28566.720000000001</v>
      </c>
      <c r="I40" s="31">
        <v>7311.7199999999993</v>
      </c>
      <c r="J40" s="30" t="s">
        <v>214</v>
      </c>
    </row>
    <row r="41" spans="1:10" x14ac:dyDescent="0.25">
      <c r="A41" s="32" t="s">
        <v>216</v>
      </c>
      <c r="B41" s="32" t="s">
        <v>212</v>
      </c>
      <c r="C41" s="32" t="s">
        <v>231</v>
      </c>
      <c r="D41" s="32">
        <v>218</v>
      </c>
      <c r="E41" s="33">
        <v>10</v>
      </c>
      <c r="F41" s="33">
        <v>15</v>
      </c>
      <c r="G41" s="33">
        <v>3270</v>
      </c>
      <c r="H41" s="33">
        <v>3139.2</v>
      </c>
      <c r="I41" s="33">
        <v>959.19999999999982</v>
      </c>
      <c r="J41" s="32" t="s">
        <v>228</v>
      </c>
    </row>
    <row r="42" spans="1:10" x14ac:dyDescent="0.25">
      <c r="A42" s="30" t="s">
        <v>211</v>
      </c>
      <c r="B42" s="30" t="s">
        <v>212</v>
      </c>
      <c r="C42" s="30" t="s">
        <v>231</v>
      </c>
      <c r="D42" s="30">
        <v>2074</v>
      </c>
      <c r="E42" s="31">
        <v>10</v>
      </c>
      <c r="F42" s="31">
        <v>20</v>
      </c>
      <c r="G42" s="31">
        <v>41480</v>
      </c>
      <c r="H42" s="31">
        <v>39820.800000000003</v>
      </c>
      <c r="I42" s="31">
        <v>19080.800000000003</v>
      </c>
      <c r="J42" s="30" t="s">
        <v>228</v>
      </c>
    </row>
    <row r="43" spans="1:10" x14ac:dyDescent="0.25">
      <c r="A43" s="32" t="s">
        <v>211</v>
      </c>
      <c r="B43" s="32" t="s">
        <v>212</v>
      </c>
      <c r="C43" s="32" t="s">
        <v>237</v>
      </c>
      <c r="D43" s="32">
        <v>2646</v>
      </c>
      <c r="E43" s="33">
        <v>120</v>
      </c>
      <c r="F43" s="33">
        <v>20</v>
      </c>
      <c r="G43" s="33">
        <v>52920</v>
      </c>
      <c r="H43" s="33">
        <v>50803.199999999997</v>
      </c>
      <c r="I43" s="33">
        <v>24343.199999999997</v>
      </c>
      <c r="J43" s="32" t="s">
        <v>233</v>
      </c>
    </row>
    <row r="44" spans="1:10" x14ac:dyDescent="0.25">
      <c r="A44" s="30" t="s">
        <v>211</v>
      </c>
      <c r="B44" s="30" t="s">
        <v>212</v>
      </c>
      <c r="C44" s="30" t="s">
        <v>240</v>
      </c>
      <c r="D44" s="30">
        <v>1778</v>
      </c>
      <c r="E44" s="31">
        <v>260</v>
      </c>
      <c r="F44" s="31">
        <v>350</v>
      </c>
      <c r="G44" s="31">
        <v>622300</v>
      </c>
      <c r="H44" s="31">
        <v>597408</v>
      </c>
      <c r="I44" s="31">
        <v>135128</v>
      </c>
      <c r="J44" s="30" t="s">
        <v>236</v>
      </c>
    </row>
    <row r="45" spans="1:10" x14ac:dyDescent="0.25">
      <c r="A45" s="32" t="s">
        <v>211</v>
      </c>
      <c r="B45" s="32" t="s">
        <v>212</v>
      </c>
      <c r="C45" s="32" t="s">
        <v>231</v>
      </c>
      <c r="D45" s="32">
        <v>2349</v>
      </c>
      <c r="E45" s="33">
        <v>10</v>
      </c>
      <c r="F45" s="33">
        <v>7</v>
      </c>
      <c r="G45" s="33">
        <v>16443</v>
      </c>
      <c r="H45" s="33">
        <v>15620.85</v>
      </c>
      <c r="I45" s="33">
        <v>3875.8500000000004</v>
      </c>
      <c r="J45" s="32" t="s">
        <v>233</v>
      </c>
    </row>
    <row r="46" spans="1:10" x14ac:dyDescent="0.25">
      <c r="A46" s="30" t="s">
        <v>223</v>
      </c>
      <c r="B46" s="30" t="s">
        <v>212</v>
      </c>
      <c r="C46" s="30" t="s">
        <v>231</v>
      </c>
      <c r="D46" s="30">
        <v>2431</v>
      </c>
      <c r="E46" s="31">
        <v>10</v>
      </c>
      <c r="F46" s="31">
        <v>12</v>
      </c>
      <c r="G46" s="31">
        <v>29172</v>
      </c>
      <c r="H46" s="31">
        <v>27713.4</v>
      </c>
      <c r="I46" s="31">
        <v>20420.400000000001</v>
      </c>
      <c r="J46" s="30" t="s">
        <v>220</v>
      </c>
    </row>
    <row r="47" spans="1:10" x14ac:dyDescent="0.25">
      <c r="A47" s="32" t="s">
        <v>223</v>
      </c>
      <c r="B47" s="32" t="s">
        <v>212</v>
      </c>
      <c r="C47" s="32" t="s">
        <v>237</v>
      </c>
      <c r="D47" s="32">
        <v>2431</v>
      </c>
      <c r="E47" s="33">
        <v>120</v>
      </c>
      <c r="F47" s="33">
        <v>12</v>
      </c>
      <c r="G47" s="33">
        <v>29172</v>
      </c>
      <c r="H47" s="33">
        <v>27713.4</v>
      </c>
      <c r="I47" s="33">
        <v>20420.400000000001</v>
      </c>
      <c r="J47" s="32" t="s">
        <v>220</v>
      </c>
    </row>
    <row r="48" spans="1:10" x14ac:dyDescent="0.25">
      <c r="A48" s="30" t="s">
        <v>211</v>
      </c>
      <c r="B48" s="30" t="s">
        <v>212</v>
      </c>
      <c r="C48" s="30" t="s">
        <v>231</v>
      </c>
      <c r="D48" s="30">
        <v>1228</v>
      </c>
      <c r="E48" s="31">
        <v>10</v>
      </c>
      <c r="F48" s="31">
        <v>350</v>
      </c>
      <c r="G48" s="31">
        <v>429800</v>
      </c>
      <c r="H48" s="31">
        <v>408310</v>
      </c>
      <c r="I48" s="31">
        <v>89030</v>
      </c>
      <c r="J48" s="30" t="s">
        <v>229</v>
      </c>
    </row>
    <row r="49" spans="1:10" x14ac:dyDescent="0.25">
      <c r="A49" s="32" t="s">
        <v>211</v>
      </c>
      <c r="B49" s="32" t="s">
        <v>212</v>
      </c>
      <c r="C49" s="32" t="s">
        <v>231</v>
      </c>
      <c r="D49" s="32">
        <v>1389</v>
      </c>
      <c r="E49" s="33">
        <v>10</v>
      </c>
      <c r="F49" s="33">
        <v>20</v>
      </c>
      <c r="G49" s="33">
        <v>27780</v>
      </c>
      <c r="H49" s="33">
        <v>26391</v>
      </c>
      <c r="I49" s="33">
        <v>12501</v>
      </c>
      <c r="J49" s="32" t="s">
        <v>229</v>
      </c>
    </row>
    <row r="50" spans="1:10" x14ac:dyDescent="0.25">
      <c r="A50" s="30" t="s">
        <v>211</v>
      </c>
      <c r="B50" s="30" t="s">
        <v>212</v>
      </c>
      <c r="C50" s="30" t="s">
        <v>231</v>
      </c>
      <c r="D50" s="30">
        <v>1802</v>
      </c>
      <c r="E50" s="31">
        <v>10</v>
      </c>
      <c r="F50" s="31">
        <v>20</v>
      </c>
      <c r="G50" s="31">
        <v>36040</v>
      </c>
      <c r="H50" s="31">
        <v>34238</v>
      </c>
      <c r="I50" s="31">
        <v>16218</v>
      </c>
      <c r="J50" s="30" t="s">
        <v>236</v>
      </c>
    </row>
    <row r="51" spans="1:10" x14ac:dyDescent="0.25">
      <c r="A51" s="32" t="s">
        <v>211</v>
      </c>
      <c r="B51" s="32" t="s">
        <v>212</v>
      </c>
      <c r="C51" s="32" t="s">
        <v>238</v>
      </c>
      <c r="D51" s="32">
        <v>1389</v>
      </c>
      <c r="E51" s="33">
        <v>250</v>
      </c>
      <c r="F51" s="33">
        <v>20</v>
      </c>
      <c r="G51" s="33">
        <v>27780</v>
      </c>
      <c r="H51" s="33">
        <v>26391</v>
      </c>
      <c r="I51" s="33">
        <v>12501</v>
      </c>
      <c r="J51" s="32" t="s">
        <v>229</v>
      </c>
    </row>
    <row r="52" spans="1:10" x14ac:dyDescent="0.25">
      <c r="A52" s="30" t="s">
        <v>211</v>
      </c>
      <c r="B52" s="30" t="s">
        <v>212</v>
      </c>
      <c r="C52" s="30" t="s">
        <v>240</v>
      </c>
      <c r="D52" s="30">
        <v>552</v>
      </c>
      <c r="E52" s="31">
        <v>260</v>
      </c>
      <c r="F52" s="31">
        <v>350</v>
      </c>
      <c r="G52" s="31">
        <v>193200</v>
      </c>
      <c r="H52" s="31">
        <v>183540</v>
      </c>
      <c r="I52" s="31">
        <v>40020</v>
      </c>
      <c r="J52" s="30" t="s">
        <v>227</v>
      </c>
    </row>
    <row r="53" spans="1:10" x14ac:dyDescent="0.25">
      <c r="A53" s="32" t="s">
        <v>211</v>
      </c>
      <c r="B53" s="32" t="s">
        <v>212</v>
      </c>
      <c r="C53" s="32" t="s">
        <v>240</v>
      </c>
      <c r="D53" s="32">
        <v>1228</v>
      </c>
      <c r="E53" s="33">
        <v>260</v>
      </c>
      <c r="F53" s="33">
        <v>350</v>
      </c>
      <c r="G53" s="33">
        <v>429800</v>
      </c>
      <c r="H53" s="33">
        <v>408310</v>
      </c>
      <c r="I53" s="33">
        <v>89030</v>
      </c>
      <c r="J53" s="32" t="s">
        <v>229</v>
      </c>
    </row>
    <row r="54" spans="1:10" x14ac:dyDescent="0.25">
      <c r="A54" s="30" t="s">
        <v>216</v>
      </c>
      <c r="B54" s="30" t="s">
        <v>212</v>
      </c>
      <c r="C54" s="30" t="s">
        <v>213</v>
      </c>
      <c r="D54" s="30">
        <v>2844</v>
      </c>
      <c r="E54" s="31">
        <v>3</v>
      </c>
      <c r="F54" s="31">
        <v>15</v>
      </c>
      <c r="G54" s="31">
        <v>42660</v>
      </c>
      <c r="H54" s="31">
        <v>40100.400000000001</v>
      </c>
      <c r="I54" s="31">
        <v>11660.400000000001</v>
      </c>
      <c r="J54" s="30" t="s">
        <v>218</v>
      </c>
    </row>
    <row r="55" spans="1:10" x14ac:dyDescent="0.25">
      <c r="A55" s="32" t="s">
        <v>223</v>
      </c>
      <c r="B55" s="32" t="s">
        <v>212</v>
      </c>
      <c r="C55" s="32" t="s">
        <v>213</v>
      </c>
      <c r="D55" s="32">
        <v>2299</v>
      </c>
      <c r="E55" s="33">
        <v>3</v>
      </c>
      <c r="F55" s="33">
        <v>12</v>
      </c>
      <c r="G55" s="33">
        <v>27588</v>
      </c>
      <c r="H55" s="33">
        <v>25932.720000000001</v>
      </c>
      <c r="I55" s="33">
        <v>19035.72</v>
      </c>
      <c r="J55" s="32" t="s">
        <v>229</v>
      </c>
    </row>
    <row r="56" spans="1:10" x14ac:dyDescent="0.25">
      <c r="A56" s="30" t="s">
        <v>223</v>
      </c>
      <c r="B56" s="30" t="s">
        <v>212</v>
      </c>
      <c r="C56" s="30" t="s">
        <v>231</v>
      </c>
      <c r="D56" s="30">
        <v>2299</v>
      </c>
      <c r="E56" s="31">
        <v>10</v>
      </c>
      <c r="F56" s="31">
        <v>12</v>
      </c>
      <c r="G56" s="31">
        <v>27588</v>
      </c>
      <c r="H56" s="31">
        <v>25932.720000000001</v>
      </c>
      <c r="I56" s="31">
        <v>19035.72</v>
      </c>
      <c r="J56" s="30" t="s">
        <v>229</v>
      </c>
    </row>
    <row r="57" spans="1:10" x14ac:dyDescent="0.25">
      <c r="A57" s="32" t="s">
        <v>224</v>
      </c>
      <c r="B57" s="32" t="s">
        <v>212</v>
      </c>
      <c r="C57" s="32" t="s">
        <v>237</v>
      </c>
      <c r="D57" s="32">
        <v>952</v>
      </c>
      <c r="E57" s="33">
        <v>120</v>
      </c>
      <c r="F57" s="33">
        <v>125</v>
      </c>
      <c r="G57" s="33">
        <v>119000</v>
      </c>
      <c r="H57" s="33">
        <v>111860</v>
      </c>
      <c r="I57" s="33">
        <v>-2380</v>
      </c>
      <c r="J57" s="32" t="s">
        <v>232</v>
      </c>
    </row>
    <row r="58" spans="1:10" x14ac:dyDescent="0.25">
      <c r="A58" s="30" t="s">
        <v>216</v>
      </c>
      <c r="B58" s="30" t="s">
        <v>212</v>
      </c>
      <c r="C58" s="30" t="s">
        <v>238</v>
      </c>
      <c r="D58" s="30">
        <v>2844</v>
      </c>
      <c r="E58" s="31">
        <v>250</v>
      </c>
      <c r="F58" s="31">
        <v>15</v>
      </c>
      <c r="G58" s="31">
        <v>42660</v>
      </c>
      <c r="H58" s="31">
        <v>40100.400000000001</v>
      </c>
      <c r="I58" s="31">
        <v>11660.400000000001</v>
      </c>
      <c r="J58" s="30" t="s">
        <v>218</v>
      </c>
    </row>
    <row r="59" spans="1:10" x14ac:dyDescent="0.25">
      <c r="A59" s="32" t="s">
        <v>226</v>
      </c>
      <c r="B59" s="32" t="s">
        <v>212</v>
      </c>
      <c r="C59" s="32" t="s">
        <v>238</v>
      </c>
      <c r="D59" s="32">
        <v>2436</v>
      </c>
      <c r="E59" s="33">
        <v>250</v>
      </c>
      <c r="F59" s="33">
        <v>300</v>
      </c>
      <c r="G59" s="33">
        <v>730800</v>
      </c>
      <c r="H59" s="33">
        <v>686952</v>
      </c>
      <c r="I59" s="33">
        <v>77952</v>
      </c>
      <c r="J59" s="32" t="s">
        <v>236</v>
      </c>
    </row>
    <row r="60" spans="1:10" x14ac:dyDescent="0.25">
      <c r="A60" s="30" t="s">
        <v>223</v>
      </c>
      <c r="B60" s="30" t="s">
        <v>212</v>
      </c>
      <c r="C60" s="30" t="s">
        <v>213</v>
      </c>
      <c r="D60" s="30">
        <v>1884</v>
      </c>
      <c r="E60" s="31">
        <v>3</v>
      </c>
      <c r="F60" s="31">
        <v>12</v>
      </c>
      <c r="G60" s="31">
        <v>22608</v>
      </c>
      <c r="H60" s="31">
        <v>21025.439999999999</v>
      </c>
      <c r="I60" s="31">
        <v>15373.439999999999</v>
      </c>
      <c r="J60" s="30" t="s">
        <v>227</v>
      </c>
    </row>
    <row r="61" spans="1:10" x14ac:dyDescent="0.25">
      <c r="A61" s="32" t="s">
        <v>216</v>
      </c>
      <c r="B61" s="32" t="s">
        <v>212</v>
      </c>
      <c r="C61" s="32" t="s">
        <v>237</v>
      </c>
      <c r="D61" s="32">
        <v>1262</v>
      </c>
      <c r="E61" s="33">
        <v>120</v>
      </c>
      <c r="F61" s="33">
        <v>15</v>
      </c>
      <c r="G61" s="33">
        <v>18930</v>
      </c>
      <c r="H61" s="33">
        <v>17604.900000000001</v>
      </c>
      <c r="I61" s="33">
        <v>4984.9000000000015</v>
      </c>
      <c r="J61" s="32" t="s">
        <v>241</v>
      </c>
    </row>
    <row r="62" spans="1:10" x14ac:dyDescent="0.25">
      <c r="A62" s="30" t="s">
        <v>211</v>
      </c>
      <c r="B62" s="30" t="s">
        <v>212</v>
      </c>
      <c r="C62" s="30" t="s">
        <v>237</v>
      </c>
      <c r="D62" s="30">
        <v>1135</v>
      </c>
      <c r="E62" s="31">
        <v>120</v>
      </c>
      <c r="F62" s="31">
        <v>7</v>
      </c>
      <c r="G62" s="31">
        <v>7945</v>
      </c>
      <c r="H62" s="31">
        <v>7388.85</v>
      </c>
      <c r="I62" s="31">
        <v>1713.8500000000004</v>
      </c>
      <c r="J62" s="30" t="s">
        <v>218</v>
      </c>
    </row>
    <row r="63" spans="1:10" x14ac:dyDescent="0.25">
      <c r="A63" s="32" t="s">
        <v>211</v>
      </c>
      <c r="B63" s="32" t="s">
        <v>212</v>
      </c>
      <c r="C63" s="32" t="s">
        <v>237</v>
      </c>
      <c r="D63" s="32">
        <v>1582</v>
      </c>
      <c r="E63" s="33">
        <v>120</v>
      </c>
      <c r="F63" s="33">
        <v>7</v>
      </c>
      <c r="G63" s="33">
        <v>11074</v>
      </c>
      <c r="H63" s="33">
        <v>10298.82</v>
      </c>
      <c r="I63" s="33">
        <v>2388.8199999999997</v>
      </c>
      <c r="J63" s="32" t="s">
        <v>220</v>
      </c>
    </row>
    <row r="64" spans="1:10" x14ac:dyDescent="0.25">
      <c r="A64" s="30" t="s">
        <v>211</v>
      </c>
      <c r="B64" s="30" t="s">
        <v>212</v>
      </c>
      <c r="C64" s="30" t="s">
        <v>238</v>
      </c>
      <c r="D64" s="30">
        <v>1582</v>
      </c>
      <c r="E64" s="31">
        <v>250</v>
      </c>
      <c r="F64" s="31">
        <v>7</v>
      </c>
      <c r="G64" s="31">
        <v>11074</v>
      </c>
      <c r="H64" s="31">
        <v>10298.82</v>
      </c>
      <c r="I64" s="31">
        <v>2388.8199999999997</v>
      </c>
      <c r="J64" s="30" t="s">
        <v>220</v>
      </c>
    </row>
    <row r="65" spans="1:10" x14ac:dyDescent="0.25">
      <c r="A65" s="32" t="s">
        <v>211</v>
      </c>
      <c r="B65" s="32" t="s">
        <v>212</v>
      </c>
      <c r="C65" s="32" t="s">
        <v>240</v>
      </c>
      <c r="D65" s="32">
        <v>1135</v>
      </c>
      <c r="E65" s="33">
        <v>260</v>
      </c>
      <c r="F65" s="33">
        <v>7</v>
      </c>
      <c r="G65" s="33">
        <v>7945</v>
      </c>
      <c r="H65" s="33">
        <v>7388.85</v>
      </c>
      <c r="I65" s="33">
        <v>1713.8500000000004</v>
      </c>
      <c r="J65" s="32" t="s">
        <v>218</v>
      </c>
    </row>
    <row r="66" spans="1:10" x14ac:dyDescent="0.25">
      <c r="A66" s="30" t="s">
        <v>226</v>
      </c>
      <c r="B66" s="30" t="s">
        <v>212</v>
      </c>
      <c r="C66" s="30" t="s">
        <v>231</v>
      </c>
      <c r="D66" s="30">
        <v>1702</v>
      </c>
      <c r="E66" s="31">
        <v>10</v>
      </c>
      <c r="F66" s="31">
        <v>300</v>
      </c>
      <c r="G66" s="31">
        <v>510600</v>
      </c>
      <c r="H66" s="31">
        <v>474858</v>
      </c>
      <c r="I66" s="31">
        <v>49358</v>
      </c>
      <c r="J66" s="30" t="s">
        <v>241</v>
      </c>
    </row>
    <row r="67" spans="1:10" x14ac:dyDescent="0.25">
      <c r="A67" s="32" t="s">
        <v>226</v>
      </c>
      <c r="B67" s="32" t="s">
        <v>212</v>
      </c>
      <c r="C67" s="32" t="s">
        <v>231</v>
      </c>
      <c r="D67" s="32">
        <v>1404</v>
      </c>
      <c r="E67" s="33">
        <v>10</v>
      </c>
      <c r="F67" s="33">
        <v>300</v>
      </c>
      <c r="G67" s="33">
        <v>421200</v>
      </c>
      <c r="H67" s="33">
        <v>391716</v>
      </c>
      <c r="I67" s="33">
        <v>40716</v>
      </c>
      <c r="J67" s="32" t="s">
        <v>235</v>
      </c>
    </row>
    <row r="68" spans="1:10" x14ac:dyDescent="0.25">
      <c r="A68" s="30" t="s">
        <v>223</v>
      </c>
      <c r="B68" s="30" t="s">
        <v>212</v>
      </c>
      <c r="C68" s="30" t="s">
        <v>238</v>
      </c>
      <c r="D68" s="30">
        <v>3244.5</v>
      </c>
      <c r="E68" s="31">
        <v>250</v>
      </c>
      <c r="F68" s="31">
        <v>12</v>
      </c>
      <c r="G68" s="31">
        <v>38934</v>
      </c>
      <c r="H68" s="31">
        <v>36208.620000000003</v>
      </c>
      <c r="I68" s="31">
        <v>26475.120000000003</v>
      </c>
      <c r="J68" s="30" t="s">
        <v>214</v>
      </c>
    </row>
    <row r="69" spans="1:10" x14ac:dyDescent="0.25">
      <c r="A69" s="32" t="s">
        <v>224</v>
      </c>
      <c r="B69" s="32" t="s">
        <v>212</v>
      </c>
      <c r="C69" s="32" t="s">
        <v>240</v>
      </c>
      <c r="D69" s="32">
        <v>1645</v>
      </c>
      <c r="E69" s="33">
        <v>260</v>
      </c>
      <c r="F69" s="33">
        <v>125</v>
      </c>
      <c r="G69" s="33">
        <v>205625</v>
      </c>
      <c r="H69" s="33">
        <v>191231.25</v>
      </c>
      <c r="I69" s="33">
        <v>-6168.75</v>
      </c>
      <c r="J69" s="32" t="s">
        <v>241</v>
      </c>
    </row>
    <row r="70" spans="1:10" x14ac:dyDescent="0.25">
      <c r="A70" s="30" t="s">
        <v>211</v>
      </c>
      <c r="B70" s="30" t="s">
        <v>212</v>
      </c>
      <c r="C70" s="30" t="s">
        <v>240</v>
      </c>
      <c r="D70" s="30">
        <v>1118</v>
      </c>
      <c r="E70" s="31">
        <v>260</v>
      </c>
      <c r="F70" s="31">
        <v>20</v>
      </c>
      <c r="G70" s="31">
        <v>22360</v>
      </c>
      <c r="H70" s="31">
        <v>20794.8</v>
      </c>
      <c r="I70" s="31">
        <v>9614.7999999999993</v>
      </c>
      <c r="J70" s="30" t="s">
        <v>242</v>
      </c>
    </row>
    <row r="71" spans="1:10" x14ac:dyDescent="0.25">
      <c r="A71" s="32" t="s">
        <v>211</v>
      </c>
      <c r="B71" s="32" t="s">
        <v>212</v>
      </c>
      <c r="C71" s="32" t="s">
        <v>221</v>
      </c>
      <c r="D71" s="32">
        <v>488</v>
      </c>
      <c r="E71" s="33">
        <v>5</v>
      </c>
      <c r="F71" s="33">
        <v>7</v>
      </c>
      <c r="G71" s="33">
        <v>3416</v>
      </c>
      <c r="H71" s="33">
        <v>3142.7200000000003</v>
      </c>
      <c r="I71" s="33">
        <v>702.72000000000025</v>
      </c>
      <c r="J71" s="32" t="s">
        <v>232</v>
      </c>
    </row>
    <row r="72" spans="1:10" x14ac:dyDescent="0.25">
      <c r="A72" s="30" t="s">
        <v>211</v>
      </c>
      <c r="B72" s="30" t="s">
        <v>212</v>
      </c>
      <c r="C72" s="30" t="s">
        <v>231</v>
      </c>
      <c r="D72" s="30">
        <v>257</v>
      </c>
      <c r="E72" s="31">
        <v>10</v>
      </c>
      <c r="F72" s="31">
        <v>7</v>
      </c>
      <c r="G72" s="31">
        <v>1799</v>
      </c>
      <c r="H72" s="31">
        <v>1655.08</v>
      </c>
      <c r="I72" s="31">
        <v>370.07999999999993</v>
      </c>
      <c r="J72" s="30" t="s">
        <v>241</v>
      </c>
    </row>
    <row r="73" spans="1:10" x14ac:dyDescent="0.25">
      <c r="A73" s="32" t="s">
        <v>211</v>
      </c>
      <c r="B73" s="32" t="s">
        <v>212</v>
      </c>
      <c r="C73" s="32" t="s">
        <v>221</v>
      </c>
      <c r="D73" s="32">
        <v>708</v>
      </c>
      <c r="E73" s="33">
        <v>5</v>
      </c>
      <c r="F73" s="33">
        <v>20</v>
      </c>
      <c r="G73" s="33">
        <v>14160</v>
      </c>
      <c r="H73" s="33">
        <v>13027.2</v>
      </c>
      <c r="I73" s="33">
        <v>5947.2000000000007</v>
      </c>
      <c r="J73" s="32" t="s">
        <v>218</v>
      </c>
    </row>
    <row r="74" spans="1:10" x14ac:dyDescent="0.25">
      <c r="A74" s="30" t="s">
        <v>226</v>
      </c>
      <c r="B74" s="30" t="s">
        <v>212</v>
      </c>
      <c r="C74" s="30" t="s">
        <v>221</v>
      </c>
      <c r="D74" s="30">
        <v>1283</v>
      </c>
      <c r="E74" s="31">
        <v>5</v>
      </c>
      <c r="F74" s="31">
        <v>300</v>
      </c>
      <c r="G74" s="31">
        <v>384900</v>
      </c>
      <c r="H74" s="31">
        <v>354108</v>
      </c>
      <c r="I74" s="31">
        <v>33358</v>
      </c>
      <c r="J74" s="30" t="s">
        <v>233</v>
      </c>
    </row>
    <row r="75" spans="1:10" x14ac:dyDescent="0.25">
      <c r="A75" s="32" t="s">
        <v>223</v>
      </c>
      <c r="B75" s="32" t="s">
        <v>212</v>
      </c>
      <c r="C75" s="32" t="s">
        <v>237</v>
      </c>
      <c r="D75" s="32">
        <v>598</v>
      </c>
      <c r="E75" s="33">
        <v>120</v>
      </c>
      <c r="F75" s="33">
        <v>12</v>
      </c>
      <c r="G75" s="33">
        <v>7176</v>
      </c>
      <c r="H75" s="33">
        <v>6601.92</v>
      </c>
      <c r="I75" s="33">
        <v>4807.92</v>
      </c>
      <c r="J75" s="32" t="s">
        <v>222</v>
      </c>
    </row>
    <row r="76" spans="1:10" x14ac:dyDescent="0.25">
      <c r="A76" s="30" t="s">
        <v>226</v>
      </c>
      <c r="B76" s="30" t="s">
        <v>212</v>
      </c>
      <c r="C76" s="30" t="s">
        <v>238</v>
      </c>
      <c r="D76" s="30">
        <v>2134</v>
      </c>
      <c r="E76" s="31">
        <v>250</v>
      </c>
      <c r="F76" s="31">
        <v>300</v>
      </c>
      <c r="G76" s="31">
        <v>640200</v>
      </c>
      <c r="H76" s="31">
        <v>588984</v>
      </c>
      <c r="I76" s="31">
        <v>55484</v>
      </c>
      <c r="J76" s="30" t="s">
        <v>228</v>
      </c>
    </row>
    <row r="77" spans="1:10" x14ac:dyDescent="0.25">
      <c r="A77" s="32" t="s">
        <v>211</v>
      </c>
      <c r="B77" s="32" t="s">
        <v>212</v>
      </c>
      <c r="C77" s="32" t="s">
        <v>240</v>
      </c>
      <c r="D77" s="32">
        <v>708</v>
      </c>
      <c r="E77" s="33">
        <v>260</v>
      </c>
      <c r="F77" s="33">
        <v>20</v>
      </c>
      <c r="G77" s="33">
        <v>14160</v>
      </c>
      <c r="H77" s="33">
        <v>13027.2</v>
      </c>
      <c r="I77" s="33">
        <v>5947.2000000000007</v>
      </c>
      <c r="J77" s="32" t="s">
        <v>218</v>
      </c>
    </row>
    <row r="78" spans="1:10" x14ac:dyDescent="0.25">
      <c r="A78" s="30" t="s">
        <v>226</v>
      </c>
      <c r="B78" s="30" t="s">
        <v>212</v>
      </c>
      <c r="C78" s="30" t="s">
        <v>213</v>
      </c>
      <c r="D78" s="30">
        <v>1094</v>
      </c>
      <c r="E78" s="31">
        <v>3</v>
      </c>
      <c r="F78" s="31">
        <v>300</v>
      </c>
      <c r="G78" s="31">
        <v>328200</v>
      </c>
      <c r="H78" s="31">
        <v>298662</v>
      </c>
      <c r="I78" s="31">
        <v>25162</v>
      </c>
      <c r="J78" s="30" t="s">
        <v>218</v>
      </c>
    </row>
    <row r="79" spans="1:10" x14ac:dyDescent="0.25">
      <c r="A79" s="32" t="s">
        <v>226</v>
      </c>
      <c r="B79" s="32" t="s">
        <v>212</v>
      </c>
      <c r="C79" s="32" t="s">
        <v>221</v>
      </c>
      <c r="D79" s="32">
        <v>3802.5</v>
      </c>
      <c r="E79" s="33">
        <v>5</v>
      </c>
      <c r="F79" s="33">
        <v>300</v>
      </c>
      <c r="G79" s="33">
        <v>1140750</v>
      </c>
      <c r="H79" s="33">
        <v>1038082.5</v>
      </c>
      <c r="I79" s="33">
        <v>87457.5</v>
      </c>
      <c r="J79" s="32" t="s">
        <v>239</v>
      </c>
    </row>
    <row r="80" spans="1:10" x14ac:dyDescent="0.25">
      <c r="A80" s="30" t="s">
        <v>223</v>
      </c>
      <c r="B80" s="30" t="s">
        <v>212</v>
      </c>
      <c r="C80" s="30" t="s">
        <v>221</v>
      </c>
      <c r="D80" s="30">
        <v>2321</v>
      </c>
      <c r="E80" s="31">
        <v>5</v>
      </c>
      <c r="F80" s="31">
        <v>12</v>
      </c>
      <c r="G80" s="31">
        <v>27852</v>
      </c>
      <c r="H80" s="31">
        <v>25345.32</v>
      </c>
      <c r="I80" s="31">
        <v>18382.32</v>
      </c>
      <c r="J80" s="30" t="s">
        <v>242</v>
      </c>
    </row>
    <row r="81" spans="1:10" x14ac:dyDescent="0.25">
      <c r="A81" s="32" t="s">
        <v>211</v>
      </c>
      <c r="B81" s="32" t="s">
        <v>212</v>
      </c>
      <c r="C81" s="32" t="s">
        <v>221</v>
      </c>
      <c r="D81" s="32">
        <v>1611</v>
      </c>
      <c r="E81" s="33">
        <v>5</v>
      </c>
      <c r="F81" s="33">
        <v>7</v>
      </c>
      <c r="G81" s="33">
        <v>11277</v>
      </c>
      <c r="H81" s="33">
        <v>10262.07</v>
      </c>
      <c r="I81" s="33">
        <v>2207.0699999999997</v>
      </c>
      <c r="J81" s="32" t="s">
        <v>236</v>
      </c>
    </row>
    <row r="82" spans="1:10" x14ac:dyDescent="0.25">
      <c r="A82" s="30" t="s">
        <v>226</v>
      </c>
      <c r="B82" s="30" t="s">
        <v>212</v>
      </c>
      <c r="C82" s="30" t="s">
        <v>231</v>
      </c>
      <c r="D82" s="30">
        <v>1094</v>
      </c>
      <c r="E82" s="31">
        <v>10</v>
      </c>
      <c r="F82" s="31">
        <v>300</v>
      </c>
      <c r="G82" s="31">
        <v>328200</v>
      </c>
      <c r="H82" s="31">
        <v>298662</v>
      </c>
      <c r="I82" s="31">
        <v>25162</v>
      </c>
      <c r="J82" s="30" t="s">
        <v>218</v>
      </c>
    </row>
    <row r="83" spans="1:10" x14ac:dyDescent="0.25">
      <c r="A83" s="32" t="s">
        <v>226</v>
      </c>
      <c r="B83" s="32" t="s">
        <v>212</v>
      </c>
      <c r="C83" s="32" t="s">
        <v>237</v>
      </c>
      <c r="D83" s="32">
        <v>3793.5</v>
      </c>
      <c r="E83" s="33">
        <v>120</v>
      </c>
      <c r="F83" s="33">
        <v>300</v>
      </c>
      <c r="G83" s="33">
        <v>1138050</v>
      </c>
      <c r="H83" s="33">
        <v>1035625.5</v>
      </c>
      <c r="I83" s="33">
        <v>87250.5</v>
      </c>
      <c r="J83" s="32" t="s">
        <v>225</v>
      </c>
    </row>
    <row r="84" spans="1:10" x14ac:dyDescent="0.25">
      <c r="A84" s="30" t="s">
        <v>224</v>
      </c>
      <c r="B84" s="30" t="s">
        <v>212</v>
      </c>
      <c r="C84" s="30" t="s">
        <v>237</v>
      </c>
      <c r="D84" s="30">
        <v>567</v>
      </c>
      <c r="E84" s="31">
        <v>120</v>
      </c>
      <c r="F84" s="31">
        <v>125</v>
      </c>
      <c r="G84" s="31">
        <v>70875</v>
      </c>
      <c r="H84" s="31">
        <v>64496.25</v>
      </c>
      <c r="I84" s="31">
        <v>-3543.75</v>
      </c>
      <c r="J84" s="30" t="s">
        <v>228</v>
      </c>
    </row>
    <row r="85" spans="1:10" x14ac:dyDescent="0.25">
      <c r="A85" s="32" t="s">
        <v>211</v>
      </c>
      <c r="B85" s="32" t="s">
        <v>212</v>
      </c>
      <c r="C85" s="32" t="s">
        <v>237</v>
      </c>
      <c r="D85" s="32">
        <v>1269</v>
      </c>
      <c r="E85" s="33">
        <v>120</v>
      </c>
      <c r="F85" s="33">
        <v>350</v>
      </c>
      <c r="G85" s="33">
        <v>444150</v>
      </c>
      <c r="H85" s="33">
        <v>404176.5</v>
      </c>
      <c r="I85" s="33">
        <v>74236.5</v>
      </c>
      <c r="J85" s="32" t="s">
        <v>234</v>
      </c>
    </row>
    <row r="86" spans="1:10" x14ac:dyDescent="0.25">
      <c r="A86" s="30" t="s">
        <v>211</v>
      </c>
      <c r="B86" s="30" t="s">
        <v>212</v>
      </c>
      <c r="C86" s="30" t="s">
        <v>240</v>
      </c>
      <c r="D86" s="30">
        <v>1269</v>
      </c>
      <c r="E86" s="31">
        <v>260</v>
      </c>
      <c r="F86" s="31">
        <v>350</v>
      </c>
      <c r="G86" s="31">
        <v>444150</v>
      </c>
      <c r="H86" s="31">
        <v>404176.5</v>
      </c>
      <c r="I86" s="31">
        <v>74236.5</v>
      </c>
      <c r="J86" s="30" t="s">
        <v>234</v>
      </c>
    </row>
    <row r="87" spans="1:10" x14ac:dyDescent="0.25">
      <c r="A87" s="32" t="s">
        <v>211</v>
      </c>
      <c r="B87" s="32" t="s">
        <v>212</v>
      </c>
      <c r="C87" s="32" t="s">
        <v>213</v>
      </c>
      <c r="D87" s="32">
        <v>819</v>
      </c>
      <c r="E87" s="33">
        <v>3</v>
      </c>
      <c r="F87" s="33">
        <v>7</v>
      </c>
      <c r="G87" s="33">
        <v>5733</v>
      </c>
      <c r="H87" s="33">
        <v>5217.03</v>
      </c>
      <c r="I87" s="33">
        <v>1122.03</v>
      </c>
      <c r="J87" s="32" t="s">
        <v>225</v>
      </c>
    </row>
    <row r="88" spans="1:10" x14ac:dyDescent="0.25">
      <c r="A88" s="30" t="s">
        <v>216</v>
      </c>
      <c r="B88" s="30" t="s">
        <v>212</v>
      </c>
      <c r="C88" s="30" t="s">
        <v>240</v>
      </c>
      <c r="D88" s="30">
        <v>1630.5</v>
      </c>
      <c r="E88" s="31">
        <v>260</v>
      </c>
      <c r="F88" s="31">
        <v>15</v>
      </c>
      <c r="G88" s="31">
        <v>24457.5</v>
      </c>
      <c r="H88" s="31">
        <v>22256.324999999997</v>
      </c>
      <c r="I88" s="31">
        <v>5951.3249999999989</v>
      </c>
      <c r="J88" s="30" t="s">
        <v>225</v>
      </c>
    </row>
    <row r="89" spans="1:10" x14ac:dyDescent="0.25">
      <c r="A89" s="32" t="s">
        <v>224</v>
      </c>
      <c r="B89" s="32" t="s">
        <v>212</v>
      </c>
      <c r="C89" s="32" t="s">
        <v>237</v>
      </c>
      <c r="D89" s="32">
        <v>1916</v>
      </c>
      <c r="E89" s="33">
        <v>120</v>
      </c>
      <c r="F89" s="33">
        <v>125</v>
      </c>
      <c r="G89" s="33">
        <v>239500</v>
      </c>
      <c r="H89" s="33">
        <v>215550</v>
      </c>
      <c r="I89" s="33">
        <v>-14370</v>
      </c>
      <c r="J89" s="32" t="s">
        <v>236</v>
      </c>
    </row>
    <row r="90" spans="1:10" x14ac:dyDescent="0.25">
      <c r="A90" s="30" t="s">
        <v>224</v>
      </c>
      <c r="B90" s="30" t="s">
        <v>212</v>
      </c>
      <c r="C90" s="30" t="s">
        <v>238</v>
      </c>
      <c r="D90" s="30">
        <v>2529</v>
      </c>
      <c r="E90" s="31">
        <v>250</v>
      </c>
      <c r="F90" s="31">
        <v>125</v>
      </c>
      <c r="G90" s="31">
        <v>316125</v>
      </c>
      <c r="H90" s="31">
        <v>284512.5</v>
      </c>
      <c r="I90" s="31">
        <v>-18967.5</v>
      </c>
      <c r="J90" s="30" t="s">
        <v>242</v>
      </c>
    </row>
    <row r="91" spans="1:10" x14ac:dyDescent="0.25">
      <c r="A91" s="32" t="s">
        <v>211</v>
      </c>
      <c r="B91" s="32" t="s">
        <v>212</v>
      </c>
      <c r="C91" s="32" t="s">
        <v>240</v>
      </c>
      <c r="D91" s="32">
        <v>2240</v>
      </c>
      <c r="E91" s="33">
        <v>260</v>
      </c>
      <c r="F91" s="33">
        <v>350</v>
      </c>
      <c r="G91" s="33">
        <v>784000</v>
      </c>
      <c r="H91" s="33">
        <v>705600</v>
      </c>
      <c r="I91" s="33">
        <v>123200</v>
      </c>
      <c r="J91" s="32" t="s">
        <v>232</v>
      </c>
    </row>
    <row r="92" spans="1:10" x14ac:dyDescent="0.25">
      <c r="A92" s="30" t="s">
        <v>223</v>
      </c>
      <c r="B92" s="30" t="s">
        <v>212</v>
      </c>
      <c r="C92" s="30" t="s">
        <v>240</v>
      </c>
      <c r="D92" s="30">
        <v>3520.5</v>
      </c>
      <c r="E92" s="31">
        <v>260</v>
      </c>
      <c r="F92" s="31">
        <v>12</v>
      </c>
      <c r="G92" s="31">
        <v>42246</v>
      </c>
      <c r="H92" s="31">
        <v>38021.399999999994</v>
      </c>
      <c r="I92" s="31">
        <v>27459.899999999998</v>
      </c>
      <c r="J92" s="30" t="s">
        <v>239</v>
      </c>
    </row>
    <row r="93" spans="1:10" x14ac:dyDescent="0.25">
      <c r="A93" s="32" t="s">
        <v>211</v>
      </c>
      <c r="B93" s="32" t="s">
        <v>212</v>
      </c>
      <c r="C93" s="32" t="s">
        <v>240</v>
      </c>
      <c r="D93" s="32">
        <v>707</v>
      </c>
      <c r="E93" s="33">
        <v>260</v>
      </c>
      <c r="F93" s="33">
        <v>350</v>
      </c>
      <c r="G93" s="33">
        <v>247450</v>
      </c>
      <c r="H93" s="33">
        <v>222705</v>
      </c>
      <c r="I93" s="33">
        <v>38885</v>
      </c>
      <c r="J93" s="32" t="s">
        <v>228</v>
      </c>
    </row>
    <row r="94" spans="1:10" x14ac:dyDescent="0.25">
      <c r="A94" s="30" t="s">
        <v>216</v>
      </c>
      <c r="B94" s="30" t="s">
        <v>212</v>
      </c>
      <c r="C94" s="30" t="s">
        <v>237</v>
      </c>
      <c r="D94" s="30">
        <v>384</v>
      </c>
      <c r="E94" s="31">
        <v>120</v>
      </c>
      <c r="F94" s="31">
        <v>15</v>
      </c>
      <c r="G94" s="31">
        <v>5760</v>
      </c>
      <c r="H94" s="31">
        <v>5126.3999999999996</v>
      </c>
      <c r="I94" s="31">
        <v>1286.3999999999999</v>
      </c>
      <c r="J94" s="30" t="s">
        <v>214</v>
      </c>
    </row>
    <row r="95" spans="1:10" x14ac:dyDescent="0.25">
      <c r="A95" s="32" t="s">
        <v>223</v>
      </c>
      <c r="B95" s="32" t="s">
        <v>212</v>
      </c>
      <c r="C95" s="32" t="s">
        <v>213</v>
      </c>
      <c r="D95" s="32">
        <v>1937</v>
      </c>
      <c r="E95" s="33">
        <v>3</v>
      </c>
      <c r="F95" s="33">
        <v>12</v>
      </c>
      <c r="G95" s="33">
        <v>23244</v>
      </c>
      <c r="H95" s="33">
        <v>20687.16</v>
      </c>
      <c r="I95" s="33">
        <v>14876.16</v>
      </c>
      <c r="J95" s="32" t="s">
        <v>232</v>
      </c>
    </row>
    <row r="96" spans="1:10" x14ac:dyDescent="0.25">
      <c r="A96" s="30" t="s">
        <v>216</v>
      </c>
      <c r="B96" s="30" t="s">
        <v>212</v>
      </c>
      <c r="C96" s="30" t="s">
        <v>213</v>
      </c>
      <c r="D96" s="30">
        <v>1560</v>
      </c>
      <c r="E96" s="31">
        <v>3</v>
      </c>
      <c r="F96" s="31">
        <v>15</v>
      </c>
      <c r="G96" s="31">
        <v>23400</v>
      </c>
      <c r="H96" s="31">
        <v>20826</v>
      </c>
      <c r="I96" s="31">
        <v>5226</v>
      </c>
      <c r="J96" s="30" t="s">
        <v>235</v>
      </c>
    </row>
    <row r="97" spans="1:10" x14ac:dyDescent="0.25">
      <c r="A97" s="32" t="s">
        <v>226</v>
      </c>
      <c r="B97" s="32" t="s">
        <v>212</v>
      </c>
      <c r="C97" s="32" t="s">
        <v>231</v>
      </c>
      <c r="D97" s="32">
        <v>873</v>
      </c>
      <c r="E97" s="33">
        <v>10</v>
      </c>
      <c r="F97" s="33">
        <v>300</v>
      </c>
      <c r="G97" s="33">
        <v>261900</v>
      </c>
      <c r="H97" s="33">
        <v>233091</v>
      </c>
      <c r="I97" s="33">
        <v>14841</v>
      </c>
      <c r="J97" s="32" t="s">
        <v>214</v>
      </c>
    </row>
    <row r="98" spans="1:10" x14ac:dyDescent="0.25">
      <c r="A98" s="30" t="s">
        <v>211</v>
      </c>
      <c r="B98" s="30" t="s">
        <v>212</v>
      </c>
      <c r="C98" s="30" t="s">
        <v>231</v>
      </c>
      <c r="D98" s="30">
        <v>2104.5</v>
      </c>
      <c r="E98" s="31">
        <v>10</v>
      </c>
      <c r="F98" s="31">
        <v>350</v>
      </c>
      <c r="G98" s="31">
        <v>736575</v>
      </c>
      <c r="H98" s="31">
        <v>655551.75</v>
      </c>
      <c r="I98" s="31">
        <v>108381.75</v>
      </c>
      <c r="J98" s="30" t="s">
        <v>225</v>
      </c>
    </row>
    <row r="99" spans="1:10" x14ac:dyDescent="0.25">
      <c r="A99" s="32" t="s">
        <v>223</v>
      </c>
      <c r="B99" s="32" t="s">
        <v>212</v>
      </c>
      <c r="C99" s="32" t="s">
        <v>231</v>
      </c>
      <c r="D99" s="32">
        <v>4026</v>
      </c>
      <c r="E99" s="33">
        <v>10</v>
      </c>
      <c r="F99" s="33">
        <v>12</v>
      </c>
      <c r="G99" s="33">
        <v>48312</v>
      </c>
      <c r="H99" s="33">
        <v>42997.68</v>
      </c>
      <c r="I99" s="33">
        <v>30919.68</v>
      </c>
      <c r="J99" s="32" t="s">
        <v>225</v>
      </c>
    </row>
    <row r="100" spans="1:10" x14ac:dyDescent="0.25">
      <c r="A100" s="30" t="s">
        <v>211</v>
      </c>
      <c r="B100" s="30" t="s">
        <v>212</v>
      </c>
      <c r="C100" s="30" t="s">
        <v>231</v>
      </c>
      <c r="D100" s="30">
        <v>2394</v>
      </c>
      <c r="E100" s="31">
        <v>10</v>
      </c>
      <c r="F100" s="31">
        <v>20</v>
      </c>
      <c r="G100" s="31">
        <v>47880</v>
      </c>
      <c r="H100" s="31">
        <v>42613.2</v>
      </c>
      <c r="I100" s="31">
        <v>18673.199999999997</v>
      </c>
      <c r="J100" s="30" t="s">
        <v>227</v>
      </c>
    </row>
    <row r="101" spans="1:10" x14ac:dyDescent="0.25">
      <c r="A101" s="32" t="s">
        <v>226</v>
      </c>
      <c r="B101" s="32" t="s">
        <v>212</v>
      </c>
      <c r="C101" s="32" t="s">
        <v>231</v>
      </c>
      <c r="D101" s="32">
        <v>1366</v>
      </c>
      <c r="E101" s="33">
        <v>10</v>
      </c>
      <c r="F101" s="33">
        <v>300</v>
      </c>
      <c r="G101" s="33">
        <v>409800</v>
      </c>
      <c r="H101" s="33">
        <v>364722</v>
      </c>
      <c r="I101" s="33">
        <v>23222</v>
      </c>
      <c r="J101" s="32" t="s">
        <v>242</v>
      </c>
    </row>
    <row r="102" spans="1:10" x14ac:dyDescent="0.25">
      <c r="A102" s="30" t="s">
        <v>211</v>
      </c>
      <c r="B102" s="30" t="s">
        <v>212</v>
      </c>
      <c r="C102" s="30" t="s">
        <v>237</v>
      </c>
      <c r="D102" s="30">
        <v>1808</v>
      </c>
      <c r="E102" s="31">
        <v>120</v>
      </c>
      <c r="F102" s="31">
        <v>7</v>
      </c>
      <c r="G102" s="31">
        <v>12656</v>
      </c>
      <c r="H102" s="31">
        <v>11263.84</v>
      </c>
      <c r="I102" s="31">
        <v>2223.84</v>
      </c>
      <c r="J102" s="30" t="s">
        <v>242</v>
      </c>
    </row>
    <row r="103" spans="1:10" x14ac:dyDescent="0.25">
      <c r="A103" s="32" t="s">
        <v>211</v>
      </c>
      <c r="B103" s="32" t="s">
        <v>212</v>
      </c>
      <c r="C103" s="32" t="s">
        <v>238</v>
      </c>
      <c r="D103" s="32">
        <v>2935</v>
      </c>
      <c r="E103" s="33">
        <v>250</v>
      </c>
      <c r="F103" s="33">
        <v>20</v>
      </c>
      <c r="G103" s="33">
        <v>58700</v>
      </c>
      <c r="H103" s="33">
        <v>52243</v>
      </c>
      <c r="I103" s="33">
        <v>22893</v>
      </c>
      <c r="J103" s="32" t="s">
        <v>235</v>
      </c>
    </row>
    <row r="104" spans="1:10" x14ac:dyDescent="0.25">
      <c r="A104" s="30" t="s">
        <v>224</v>
      </c>
      <c r="B104" s="30" t="s">
        <v>212</v>
      </c>
      <c r="C104" s="30" t="s">
        <v>213</v>
      </c>
      <c r="D104" s="30">
        <v>2416</v>
      </c>
      <c r="E104" s="31">
        <v>3</v>
      </c>
      <c r="F104" s="31">
        <v>125</v>
      </c>
      <c r="G104" s="31">
        <v>302000</v>
      </c>
      <c r="H104" s="31">
        <v>265760</v>
      </c>
      <c r="I104" s="31">
        <v>-24160</v>
      </c>
      <c r="J104" s="30" t="s">
        <v>233</v>
      </c>
    </row>
    <row r="105" spans="1:10" x14ac:dyDescent="0.25">
      <c r="A105" s="32" t="s">
        <v>216</v>
      </c>
      <c r="B105" s="32" t="s">
        <v>212</v>
      </c>
      <c r="C105" s="32" t="s">
        <v>213</v>
      </c>
      <c r="D105" s="32">
        <v>2689</v>
      </c>
      <c r="E105" s="33">
        <v>3</v>
      </c>
      <c r="F105" s="33">
        <v>15</v>
      </c>
      <c r="G105" s="33">
        <v>40335</v>
      </c>
      <c r="H105" s="33">
        <v>35494.800000000003</v>
      </c>
      <c r="I105" s="33">
        <v>8604.8000000000029</v>
      </c>
      <c r="J105" s="32" t="s">
        <v>242</v>
      </c>
    </row>
    <row r="106" spans="1:10" x14ac:dyDescent="0.25">
      <c r="A106" s="30" t="s">
        <v>211</v>
      </c>
      <c r="B106" s="30" t="s">
        <v>212</v>
      </c>
      <c r="C106" s="30" t="s">
        <v>221</v>
      </c>
      <c r="D106" s="30">
        <v>2734</v>
      </c>
      <c r="E106" s="31">
        <v>5</v>
      </c>
      <c r="F106" s="31">
        <v>7</v>
      </c>
      <c r="G106" s="31">
        <v>19138</v>
      </c>
      <c r="H106" s="31">
        <v>16841.439999999999</v>
      </c>
      <c r="I106" s="31">
        <v>3171.4399999999987</v>
      </c>
      <c r="J106" s="30" t="s">
        <v>234</v>
      </c>
    </row>
    <row r="107" spans="1:10" x14ac:dyDescent="0.25">
      <c r="A107" s="32" t="s">
        <v>223</v>
      </c>
      <c r="B107" s="32" t="s">
        <v>212</v>
      </c>
      <c r="C107" s="32" t="s">
        <v>238</v>
      </c>
      <c r="D107" s="32">
        <v>2109</v>
      </c>
      <c r="E107" s="33">
        <v>250</v>
      </c>
      <c r="F107" s="33">
        <v>12</v>
      </c>
      <c r="G107" s="33">
        <v>25308</v>
      </c>
      <c r="H107" s="33">
        <v>22271.040000000001</v>
      </c>
      <c r="I107" s="33">
        <v>15944.04</v>
      </c>
      <c r="J107" s="32" t="s">
        <v>241</v>
      </c>
    </row>
    <row r="108" spans="1:10" x14ac:dyDescent="0.25">
      <c r="A108" s="30" t="s">
        <v>211</v>
      </c>
      <c r="B108" s="30" t="s">
        <v>212</v>
      </c>
      <c r="C108" s="30" t="s">
        <v>238</v>
      </c>
      <c r="D108" s="30">
        <v>623</v>
      </c>
      <c r="E108" s="31">
        <v>250</v>
      </c>
      <c r="F108" s="31">
        <v>350</v>
      </c>
      <c r="G108" s="31">
        <v>218050</v>
      </c>
      <c r="H108" s="31">
        <v>191884</v>
      </c>
      <c r="I108" s="31">
        <v>29904</v>
      </c>
      <c r="J108" s="30" t="s">
        <v>233</v>
      </c>
    </row>
    <row r="109" spans="1:10" x14ac:dyDescent="0.25">
      <c r="A109" s="32" t="s">
        <v>211</v>
      </c>
      <c r="B109" s="32" t="s">
        <v>212</v>
      </c>
      <c r="C109" s="32" t="s">
        <v>240</v>
      </c>
      <c r="D109" s="32">
        <v>2734</v>
      </c>
      <c r="E109" s="33">
        <v>260</v>
      </c>
      <c r="F109" s="33">
        <v>7</v>
      </c>
      <c r="G109" s="33">
        <v>19138</v>
      </c>
      <c r="H109" s="33">
        <v>16841.439999999999</v>
      </c>
      <c r="I109" s="33">
        <v>3171.4399999999987</v>
      </c>
      <c r="J109" s="32" t="s">
        <v>234</v>
      </c>
    </row>
    <row r="110" spans="1:10" x14ac:dyDescent="0.25">
      <c r="A110" s="30" t="s">
        <v>223</v>
      </c>
      <c r="B110" s="30" t="s">
        <v>212</v>
      </c>
      <c r="C110" s="30" t="s">
        <v>240</v>
      </c>
      <c r="D110" s="30">
        <v>2761</v>
      </c>
      <c r="E110" s="31">
        <v>260</v>
      </c>
      <c r="F110" s="31">
        <v>12</v>
      </c>
      <c r="G110" s="31">
        <v>33132</v>
      </c>
      <c r="H110" s="31">
        <v>29156.16</v>
      </c>
      <c r="I110" s="31">
        <v>20873.16</v>
      </c>
      <c r="J110" s="30" t="s">
        <v>233</v>
      </c>
    </row>
    <row r="111" spans="1:10" x14ac:dyDescent="0.25">
      <c r="A111" s="32" t="s">
        <v>211</v>
      </c>
      <c r="B111" s="32" t="s">
        <v>212</v>
      </c>
      <c r="C111" s="32" t="s">
        <v>213</v>
      </c>
      <c r="D111" s="32">
        <v>923</v>
      </c>
      <c r="E111" s="33">
        <v>3</v>
      </c>
      <c r="F111" s="33">
        <v>350</v>
      </c>
      <c r="G111" s="33">
        <v>323050</v>
      </c>
      <c r="H111" s="33">
        <v>281053.5</v>
      </c>
      <c r="I111" s="33">
        <v>41073.5</v>
      </c>
      <c r="J111" s="32" t="s">
        <v>222</v>
      </c>
    </row>
    <row r="112" spans="1:10" x14ac:dyDescent="0.25">
      <c r="A112" s="30" t="s">
        <v>211</v>
      </c>
      <c r="B112" s="30" t="s">
        <v>212</v>
      </c>
      <c r="C112" s="30" t="s">
        <v>221</v>
      </c>
      <c r="D112" s="30">
        <v>1249</v>
      </c>
      <c r="E112" s="31">
        <v>5</v>
      </c>
      <c r="F112" s="31">
        <v>20</v>
      </c>
      <c r="G112" s="31">
        <v>24980</v>
      </c>
      <c r="H112" s="31">
        <v>21732.6</v>
      </c>
      <c r="I112" s="31">
        <v>9242.5999999999985</v>
      </c>
      <c r="J112" s="30" t="s">
        <v>234</v>
      </c>
    </row>
    <row r="113" spans="1:10" x14ac:dyDescent="0.25">
      <c r="A113" s="32" t="s">
        <v>211</v>
      </c>
      <c r="B113" s="32" t="s">
        <v>212</v>
      </c>
      <c r="C113" s="32" t="s">
        <v>231</v>
      </c>
      <c r="D113" s="32">
        <v>2632</v>
      </c>
      <c r="E113" s="33">
        <v>10</v>
      </c>
      <c r="F113" s="33">
        <v>350</v>
      </c>
      <c r="G113" s="33">
        <v>921200</v>
      </c>
      <c r="H113" s="33">
        <v>801444</v>
      </c>
      <c r="I113" s="33">
        <v>117124</v>
      </c>
      <c r="J113" s="32" t="s">
        <v>218</v>
      </c>
    </row>
    <row r="114" spans="1:10" x14ac:dyDescent="0.25">
      <c r="A114" s="30" t="s">
        <v>224</v>
      </c>
      <c r="B114" s="30" t="s">
        <v>212</v>
      </c>
      <c r="C114" s="30" t="s">
        <v>231</v>
      </c>
      <c r="D114" s="30">
        <v>1583</v>
      </c>
      <c r="E114" s="31">
        <v>10</v>
      </c>
      <c r="F114" s="31">
        <v>125</v>
      </c>
      <c r="G114" s="31">
        <v>197875</v>
      </c>
      <c r="H114" s="31">
        <v>172151.25</v>
      </c>
      <c r="I114" s="31">
        <v>-17808.75</v>
      </c>
      <c r="J114" s="30" t="s">
        <v>218</v>
      </c>
    </row>
    <row r="115" spans="1:10" x14ac:dyDescent="0.25">
      <c r="A115" s="32" t="s">
        <v>216</v>
      </c>
      <c r="B115" s="32" t="s">
        <v>212</v>
      </c>
      <c r="C115" s="32" t="s">
        <v>231</v>
      </c>
      <c r="D115" s="32">
        <v>1565</v>
      </c>
      <c r="E115" s="33">
        <v>10</v>
      </c>
      <c r="F115" s="33">
        <v>15</v>
      </c>
      <c r="G115" s="33">
        <v>23475</v>
      </c>
      <c r="H115" s="33">
        <v>20423.25</v>
      </c>
      <c r="I115" s="33">
        <v>4773.25</v>
      </c>
      <c r="J115" s="32" t="s">
        <v>234</v>
      </c>
    </row>
    <row r="116" spans="1:10" x14ac:dyDescent="0.25">
      <c r="A116" s="30" t="s">
        <v>211</v>
      </c>
      <c r="B116" s="30" t="s">
        <v>212</v>
      </c>
      <c r="C116" s="30" t="s">
        <v>231</v>
      </c>
      <c r="D116" s="30">
        <v>1249</v>
      </c>
      <c r="E116" s="31">
        <v>10</v>
      </c>
      <c r="F116" s="31">
        <v>20</v>
      </c>
      <c r="G116" s="31">
        <v>24980</v>
      </c>
      <c r="H116" s="31">
        <v>21732.6</v>
      </c>
      <c r="I116" s="31">
        <v>9242.5999999999985</v>
      </c>
      <c r="J116" s="30" t="s">
        <v>234</v>
      </c>
    </row>
    <row r="117" spans="1:10" x14ac:dyDescent="0.25">
      <c r="A117" s="32" t="s">
        <v>211</v>
      </c>
      <c r="B117" s="32" t="s">
        <v>212</v>
      </c>
      <c r="C117" s="32" t="s">
        <v>237</v>
      </c>
      <c r="D117" s="32">
        <v>2632</v>
      </c>
      <c r="E117" s="33">
        <v>120</v>
      </c>
      <c r="F117" s="33">
        <v>350</v>
      </c>
      <c r="G117" s="33">
        <v>921200</v>
      </c>
      <c r="H117" s="33">
        <v>801444</v>
      </c>
      <c r="I117" s="33">
        <v>117124</v>
      </c>
      <c r="J117" s="32" t="s">
        <v>218</v>
      </c>
    </row>
    <row r="118" spans="1:10" x14ac:dyDescent="0.25">
      <c r="A118" s="30" t="s">
        <v>224</v>
      </c>
      <c r="B118" s="30" t="s">
        <v>212</v>
      </c>
      <c r="C118" s="30" t="s">
        <v>238</v>
      </c>
      <c r="D118" s="30">
        <v>1583</v>
      </c>
      <c r="E118" s="31">
        <v>250</v>
      </c>
      <c r="F118" s="31">
        <v>125</v>
      </c>
      <c r="G118" s="31">
        <v>197875</v>
      </c>
      <c r="H118" s="31">
        <v>172151.25</v>
      </c>
      <c r="I118" s="31">
        <v>-17808.75</v>
      </c>
      <c r="J118" s="30" t="s">
        <v>218</v>
      </c>
    </row>
    <row r="119" spans="1:10" x14ac:dyDescent="0.25">
      <c r="A119" s="32" t="s">
        <v>216</v>
      </c>
      <c r="B119" s="32" t="s">
        <v>212</v>
      </c>
      <c r="C119" s="32" t="s">
        <v>238</v>
      </c>
      <c r="D119" s="32">
        <v>1565</v>
      </c>
      <c r="E119" s="33">
        <v>250</v>
      </c>
      <c r="F119" s="33">
        <v>15</v>
      </c>
      <c r="G119" s="33">
        <v>23475</v>
      </c>
      <c r="H119" s="33">
        <v>20423.25</v>
      </c>
      <c r="I119" s="33">
        <v>4773.25</v>
      </c>
      <c r="J119" s="32" t="s">
        <v>234</v>
      </c>
    </row>
    <row r="120" spans="1:10" x14ac:dyDescent="0.25">
      <c r="A120" s="30" t="s">
        <v>224</v>
      </c>
      <c r="B120" s="30" t="s">
        <v>212</v>
      </c>
      <c r="C120" s="30" t="s">
        <v>240</v>
      </c>
      <c r="D120" s="30">
        <v>1659</v>
      </c>
      <c r="E120" s="31">
        <v>260</v>
      </c>
      <c r="F120" s="31">
        <v>125</v>
      </c>
      <c r="G120" s="31">
        <v>207375</v>
      </c>
      <c r="H120" s="31">
        <v>180416.25</v>
      </c>
      <c r="I120" s="31">
        <v>-18663.75</v>
      </c>
      <c r="J120" s="30" t="s">
        <v>214</v>
      </c>
    </row>
    <row r="121" spans="1:10" x14ac:dyDescent="0.25">
      <c r="A121" s="32" t="s">
        <v>211</v>
      </c>
      <c r="B121" s="32" t="s">
        <v>212</v>
      </c>
      <c r="C121" s="32" t="s">
        <v>231</v>
      </c>
      <c r="D121" s="32">
        <v>2428</v>
      </c>
      <c r="E121" s="33">
        <v>10</v>
      </c>
      <c r="F121" s="33">
        <v>20</v>
      </c>
      <c r="G121" s="33">
        <v>48560</v>
      </c>
      <c r="H121" s="33">
        <v>41761.599999999999</v>
      </c>
      <c r="I121" s="33">
        <v>17481.599999999999</v>
      </c>
      <c r="J121" s="32" t="s">
        <v>222</v>
      </c>
    </row>
    <row r="122" spans="1:10" x14ac:dyDescent="0.25">
      <c r="A122" s="30" t="s">
        <v>226</v>
      </c>
      <c r="B122" s="30" t="s">
        <v>212</v>
      </c>
      <c r="C122" s="30" t="s">
        <v>213</v>
      </c>
      <c r="D122" s="30">
        <v>1496</v>
      </c>
      <c r="E122" s="31">
        <v>3</v>
      </c>
      <c r="F122" s="31">
        <v>300</v>
      </c>
      <c r="G122" s="31">
        <v>448800</v>
      </c>
      <c r="H122" s="31">
        <v>385968</v>
      </c>
      <c r="I122" s="31">
        <v>11968</v>
      </c>
      <c r="J122" s="30" t="s">
        <v>234</v>
      </c>
    </row>
    <row r="123" spans="1:10" x14ac:dyDescent="0.25">
      <c r="A123" s="32" t="s">
        <v>216</v>
      </c>
      <c r="B123" s="32" t="s">
        <v>212</v>
      </c>
      <c r="C123" s="32" t="s">
        <v>213</v>
      </c>
      <c r="D123" s="32">
        <v>2300</v>
      </c>
      <c r="E123" s="33">
        <v>3</v>
      </c>
      <c r="F123" s="33">
        <v>15</v>
      </c>
      <c r="G123" s="33">
        <v>34500</v>
      </c>
      <c r="H123" s="33">
        <v>29670</v>
      </c>
      <c r="I123" s="33">
        <v>6670</v>
      </c>
      <c r="J123" s="32" t="s">
        <v>220</v>
      </c>
    </row>
    <row r="124" spans="1:10" x14ac:dyDescent="0.25">
      <c r="A124" s="30" t="s">
        <v>211</v>
      </c>
      <c r="B124" s="30" t="s">
        <v>212</v>
      </c>
      <c r="C124" s="30" t="s">
        <v>221</v>
      </c>
      <c r="D124" s="30">
        <v>2227.5</v>
      </c>
      <c r="E124" s="31">
        <v>5</v>
      </c>
      <c r="F124" s="31">
        <v>350</v>
      </c>
      <c r="G124" s="31">
        <v>779625</v>
      </c>
      <c r="H124" s="31">
        <v>670477.5</v>
      </c>
      <c r="I124" s="31">
        <v>91327.5</v>
      </c>
      <c r="J124" s="30" t="s">
        <v>214</v>
      </c>
    </row>
    <row r="125" spans="1:10" x14ac:dyDescent="0.25">
      <c r="A125" s="32" t="s">
        <v>211</v>
      </c>
      <c r="B125" s="32" t="s">
        <v>212</v>
      </c>
      <c r="C125" s="32" t="s">
        <v>221</v>
      </c>
      <c r="D125" s="32">
        <v>200</v>
      </c>
      <c r="E125" s="33">
        <v>5</v>
      </c>
      <c r="F125" s="33">
        <v>350</v>
      </c>
      <c r="G125" s="33">
        <v>70000</v>
      </c>
      <c r="H125" s="33">
        <v>60200</v>
      </c>
      <c r="I125" s="33">
        <v>8200</v>
      </c>
      <c r="J125" s="32" t="s">
        <v>241</v>
      </c>
    </row>
    <row r="126" spans="1:10" x14ac:dyDescent="0.25">
      <c r="A126" s="30" t="s">
        <v>211</v>
      </c>
      <c r="B126" s="30" t="s">
        <v>212</v>
      </c>
      <c r="C126" s="30" t="s">
        <v>221</v>
      </c>
      <c r="D126" s="30">
        <v>388</v>
      </c>
      <c r="E126" s="31">
        <v>5</v>
      </c>
      <c r="F126" s="31">
        <v>7</v>
      </c>
      <c r="G126" s="31">
        <v>2716</v>
      </c>
      <c r="H126" s="31">
        <v>2335.7600000000002</v>
      </c>
      <c r="I126" s="31">
        <v>395.76000000000022</v>
      </c>
      <c r="J126" s="30" t="s">
        <v>228</v>
      </c>
    </row>
    <row r="127" spans="1:10" x14ac:dyDescent="0.25">
      <c r="A127" s="32" t="s">
        <v>216</v>
      </c>
      <c r="B127" s="32" t="s">
        <v>212</v>
      </c>
      <c r="C127" s="32" t="s">
        <v>221</v>
      </c>
      <c r="D127" s="32">
        <v>2300</v>
      </c>
      <c r="E127" s="33">
        <v>5</v>
      </c>
      <c r="F127" s="33">
        <v>15</v>
      </c>
      <c r="G127" s="33">
        <v>34500</v>
      </c>
      <c r="H127" s="33">
        <v>29670</v>
      </c>
      <c r="I127" s="33">
        <v>6670</v>
      </c>
      <c r="J127" s="32" t="s">
        <v>220</v>
      </c>
    </row>
    <row r="128" spans="1:10" x14ac:dyDescent="0.25">
      <c r="A128" s="30" t="s">
        <v>216</v>
      </c>
      <c r="B128" s="30" t="s">
        <v>212</v>
      </c>
      <c r="C128" s="30" t="s">
        <v>231</v>
      </c>
      <c r="D128" s="30">
        <v>2470</v>
      </c>
      <c r="E128" s="31">
        <v>10</v>
      </c>
      <c r="F128" s="31">
        <v>15</v>
      </c>
      <c r="G128" s="31">
        <v>37050</v>
      </c>
      <c r="H128" s="31">
        <v>31863</v>
      </c>
      <c r="I128" s="31">
        <v>7163</v>
      </c>
      <c r="J128" s="30" t="s">
        <v>233</v>
      </c>
    </row>
    <row r="129" spans="1:10" x14ac:dyDescent="0.25">
      <c r="A129" s="32" t="s">
        <v>216</v>
      </c>
      <c r="B129" s="32" t="s">
        <v>212</v>
      </c>
      <c r="C129" s="32" t="s">
        <v>231</v>
      </c>
      <c r="D129" s="32">
        <v>1743</v>
      </c>
      <c r="E129" s="33">
        <v>10</v>
      </c>
      <c r="F129" s="33">
        <v>15</v>
      </c>
      <c r="G129" s="33">
        <v>26145</v>
      </c>
      <c r="H129" s="33">
        <v>22484.7</v>
      </c>
      <c r="I129" s="33">
        <v>5054.7000000000007</v>
      </c>
      <c r="J129" s="32" t="s">
        <v>229</v>
      </c>
    </row>
    <row r="130" spans="1:10" x14ac:dyDescent="0.25">
      <c r="A130" s="30" t="s">
        <v>211</v>
      </c>
      <c r="B130" s="30" t="s">
        <v>212</v>
      </c>
      <c r="C130" s="30" t="s">
        <v>231</v>
      </c>
      <c r="D130" s="30">
        <v>700</v>
      </c>
      <c r="E130" s="31">
        <v>10</v>
      </c>
      <c r="F130" s="31">
        <v>350</v>
      </c>
      <c r="G130" s="31">
        <v>245000</v>
      </c>
      <c r="H130" s="31">
        <v>210700</v>
      </c>
      <c r="I130" s="31">
        <v>28700</v>
      </c>
      <c r="J130" s="30" t="s">
        <v>242</v>
      </c>
    </row>
    <row r="131" spans="1:10" x14ac:dyDescent="0.25">
      <c r="A131" s="32" t="s">
        <v>223</v>
      </c>
      <c r="B131" s="32" t="s">
        <v>212</v>
      </c>
      <c r="C131" s="32" t="s">
        <v>231</v>
      </c>
      <c r="D131" s="32">
        <v>2222</v>
      </c>
      <c r="E131" s="33">
        <v>10</v>
      </c>
      <c r="F131" s="33">
        <v>12</v>
      </c>
      <c r="G131" s="33">
        <v>26664</v>
      </c>
      <c r="H131" s="33">
        <v>22931.040000000001</v>
      </c>
      <c r="I131" s="33">
        <v>16265.04</v>
      </c>
      <c r="J131" s="32" t="s">
        <v>235</v>
      </c>
    </row>
    <row r="132" spans="1:10" x14ac:dyDescent="0.25">
      <c r="A132" s="30" t="s">
        <v>226</v>
      </c>
      <c r="B132" s="30" t="s">
        <v>212</v>
      </c>
      <c r="C132" s="30" t="s">
        <v>237</v>
      </c>
      <c r="D132" s="30">
        <v>269</v>
      </c>
      <c r="E132" s="31">
        <v>120</v>
      </c>
      <c r="F132" s="31">
        <v>300</v>
      </c>
      <c r="G132" s="31">
        <v>80700</v>
      </c>
      <c r="H132" s="31">
        <v>69402</v>
      </c>
      <c r="I132" s="31">
        <v>2152</v>
      </c>
      <c r="J132" s="30" t="s">
        <v>229</v>
      </c>
    </row>
    <row r="133" spans="1:10" x14ac:dyDescent="0.25">
      <c r="A133" s="32" t="s">
        <v>226</v>
      </c>
      <c r="B133" s="32" t="s">
        <v>212</v>
      </c>
      <c r="C133" s="32" t="s">
        <v>238</v>
      </c>
      <c r="D133" s="32">
        <v>269</v>
      </c>
      <c r="E133" s="33">
        <v>250</v>
      </c>
      <c r="F133" s="33">
        <v>300</v>
      </c>
      <c r="G133" s="33">
        <v>80700</v>
      </c>
      <c r="H133" s="33">
        <v>69402</v>
      </c>
      <c r="I133" s="33">
        <v>2152</v>
      </c>
      <c r="J133" s="32" t="s">
        <v>229</v>
      </c>
    </row>
    <row r="134" spans="1:10" x14ac:dyDescent="0.25">
      <c r="A134" s="30" t="s">
        <v>226</v>
      </c>
      <c r="B134" s="30" t="s">
        <v>212</v>
      </c>
      <c r="C134" s="30" t="s">
        <v>238</v>
      </c>
      <c r="D134" s="30">
        <v>1496</v>
      </c>
      <c r="E134" s="31">
        <v>250</v>
      </c>
      <c r="F134" s="31">
        <v>300</v>
      </c>
      <c r="G134" s="31">
        <v>448800</v>
      </c>
      <c r="H134" s="31">
        <v>385968</v>
      </c>
      <c r="I134" s="31">
        <v>11968</v>
      </c>
      <c r="J134" s="30" t="s">
        <v>234</v>
      </c>
    </row>
    <row r="135" spans="1:10" x14ac:dyDescent="0.25">
      <c r="A135" s="32" t="s">
        <v>226</v>
      </c>
      <c r="B135" s="32" t="s">
        <v>212</v>
      </c>
      <c r="C135" s="32" t="s">
        <v>240</v>
      </c>
      <c r="D135" s="32">
        <v>888</v>
      </c>
      <c r="E135" s="33">
        <v>260</v>
      </c>
      <c r="F135" s="33">
        <v>300</v>
      </c>
      <c r="G135" s="33">
        <v>266400</v>
      </c>
      <c r="H135" s="33">
        <v>229104</v>
      </c>
      <c r="I135" s="33">
        <v>7104</v>
      </c>
      <c r="J135" s="32" t="s">
        <v>222</v>
      </c>
    </row>
    <row r="136" spans="1:10" x14ac:dyDescent="0.25">
      <c r="A136" s="30" t="s">
        <v>216</v>
      </c>
      <c r="B136" s="30" t="s">
        <v>212</v>
      </c>
      <c r="C136" s="30" t="s">
        <v>240</v>
      </c>
      <c r="D136" s="30">
        <v>1743</v>
      </c>
      <c r="E136" s="31">
        <v>260</v>
      </c>
      <c r="F136" s="31">
        <v>15</v>
      </c>
      <c r="G136" s="31">
        <v>26145</v>
      </c>
      <c r="H136" s="31">
        <v>22484.7</v>
      </c>
      <c r="I136" s="31">
        <v>5054.7000000000007</v>
      </c>
      <c r="J136" s="30" t="s">
        <v>229</v>
      </c>
    </row>
    <row r="137" spans="1:10" x14ac:dyDescent="0.25">
      <c r="A137" s="32" t="s">
        <v>216</v>
      </c>
      <c r="B137" s="32" t="s">
        <v>212</v>
      </c>
      <c r="C137" s="32" t="s">
        <v>231</v>
      </c>
      <c r="D137" s="32">
        <v>1614</v>
      </c>
      <c r="E137" s="33">
        <v>10</v>
      </c>
      <c r="F137" s="33">
        <v>15</v>
      </c>
      <c r="G137" s="33">
        <v>24210</v>
      </c>
      <c r="H137" s="33">
        <v>20578.5</v>
      </c>
      <c r="I137" s="33">
        <v>4438.5</v>
      </c>
      <c r="J137" s="32" t="s">
        <v>239</v>
      </c>
    </row>
    <row r="138" spans="1:10" x14ac:dyDescent="0.25">
      <c r="A138" s="30" t="s">
        <v>216</v>
      </c>
      <c r="B138" s="30" t="s">
        <v>212</v>
      </c>
      <c r="C138" s="30" t="s">
        <v>231</v>
      </c>
      <c r="D138" s="30">
        <v>2559</v>
      </c>
      <c r="E138" s="31">
        <v>10</v>
      </c>
      <c r="F138" s="31">
        <v>15</v>
      </c>
      <c r="G138" s="31">
        <v>38385</v>
      </c>
      <c r="H138" s="31">
        <v>32627.25</v>
      </c>
      <c r="I138" s="31">
        <v>7037.25</v>
      </c>
      <c r="J138" s="30" t="s">
        <v>227</v>
      </c>
    </row>
    <row r="139" spans="1:10" x14ac:dyDescent="0.25">
      <c r="A139" s="32" t="s">
        <v>211</v>
      </c>
      <c r="B139" s="32" t="s">
        <v>212</v>
      </c>
      <c r="C139" s="32" t="s">
        <v>238</v>
      </c>
      <c r="D139" s="32">
        <v>865.5</v>
      </c>
      <c r="E139" s="33">
        <v>250</v>
      </c>
      <c r="F139" s="33">
        <v>20</v>
      </c>
      <c r="G139" s="33">
        <v>17310</v>
      </c>
      <c r="H139" s="33">
        <v>14713.5</v>
      </c>
      <c r="I139" s="33">
        <v>6058.5</v>
      </c>
      <c r="J139" s="32" t="s">
        <v>225</v>
      </c>
    </row>
    <row r="140" spans="1:10" x14ac:dyDescent="0.25">
      <c r="A140" s="30" t="s">
        <v>224</v>
      </c>
      <c r="B140" s="30" t="s">
        <v>212</v>
      </c>
      <c r="C140" s="30" t="s">
        <v>238</v>
      </c>
      <c r="D140" s="30">
        <v>2954</v>
      </c>
      <c r="E140" s="31">
        <v>250</v>
      </c>
      <c r="F140" s="31">
        <v>125</v>
      </c>
      <c r="G140" s="31">
        <v>369250</v>
      </c>
      <c r="H140" s="31">
        <v>313862.5</v>
      </c>
      <c r="I140" s="31">
        <v>-40617.5</v>
      </c>
      <c r="J140" s="30" t="s">
        <v>235</v>
      </c>
    </row>
    <row r="141" spans="1:10" ht="15.75" thickBot="1" x14ac:dyDescent="0.3">
      <c r="A141" s="34" t="s">
        <v>211</v>
      </c>
      <c r="B141" s="34" t="s">
        <v>212</v>
      </c>
      <c r="C141" s="34" t="s">
        <v>231</v>
      </c>
      <c r="D141" s="34">
        <v>723</v>
      </c>
      <c r="E141" s="35">
        <v>10</v>
      </c>
      <c r="F141" s="35">
        <v>7</v>
      </c>
      <c r="G141" s="35">
        <v>5061</v>
      </c>
      <c r="H141" s="35">
        <v>4301.8500000000004</v>
      </c>
      <c r="I141" s="35">
        <v>686.85000000000014</v>
      </c>
      <c r="J141" s="34" t="s">
        <v>239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1"/>
  <sheetViews>
    <sheetView workbookViewId="0">
      <selection sqref="A1:J141"/>
    </sheetView>
  </sheetViews>
  <sheetFormatPr baseColWidth="10" defaultRowHeight="15" x14ac:dyDescent="0.25"/>
  <cols>
    <col min="1" max="1" width="17.7109375" customWidth="1"/>
    <col min="2" max="2" width="34.28515625" customWidth="1"/>
    <col min="3" max="3" width="22.28515625" bestFit="1" customWidth="1"/>
    <col min="4" max="4" width="20.42578125" bestFit="1" customWidth="1"/>
    <col min="5" max="5" width="21.28515625" customWidth="1"/>
    <col min="6" max="6" width="17" customWidth="1"/>
    <col min="7" max="7" width="14.5703125" customWidth="1"/>
    <col min="8" max="8" width="14.85546875" bestFit="1" customWidth="1"/>
    <col min="9" max="9" width="16" bestFit="1" customWidth="1"/>
  </cols>
  <sheetData>
    <row r="1" spans="1:10" ht="15.75" thickBot="1" x14ac:dyDescent="0.3">
      <c r="A1" s="28" t="s">
        <v>202</v>
      </c>
      <c r="B1" s="28" t="s">
        <v>246</v>
      </c>
      <c r="C1" s="28" t="s">
        <v>203</v>
      </c>
      <c r="D1" s="28" t="s">
        <v>204</v>
      </c>
      <c r="E1" s="29" t="s">
        <v>205</v>
      </c>
      <c r="F1" s="29" t="s">
        <v>206</v>
      </c>
      <c r="G1" s="29" t="s">
        <v>207</v>
      </c>
      <c r="H1" s="29" t="s">
        <v>208</v>
      </c>
      <c r="I1" s="29" t="s">
        <v>209</v>
      </c>
      <c r="J1" s="28" t="s">
        <v>210</v>
      </c>
    </row>
    <row r="2" spans="1:10" x14ac:dyDescent="0.25">
      <c r="A2" s="30" t="s">
        <v>216</v>
      </c>
      <c r="B2" s="30" t="s">
        <v>217</v>
      </c>
      <c r="C2" s="30" t="s">
        <v>213</v>
      </c>
      <c r="D2" s="30">
        <v>2178</v>
      </c>
      <c r="E2" s="31">
        <v>3</v>
      </c>
      <c r="F2" s="31">
        <v>15</v>
      </c>
      <c r="G2" s="31">
        <v>32670</v>
      </c>
      <c r="H2" s="31">
        <v>32670</v>
      </c>
      <c r="I2" s="31">
        <v>10890</v>
      </c>
      <c r="J2" s="30" t="s">
        <v>218</v>
      </c>
    </row>
    <row r="3" spans="1:10" x14ac:dyDescent="0.25">
      <c r="A3" s="32" t="s">
        <v>211</v>
      </c>
      <c r="B3" s="32" t="s">
        <v>217</v>
      </c>
      <c r="C3" s="32" t="s">
        <v>221</v>
      </c>
      <c r="D3" s="32">
        <v>1899</v>
      </c>
      <c r="E3" s="33">
        <v>5</v>
      </c>
      <c r="F3" s="33">
        <v>20</v>
      </c>
      <c r="G3" s="33">
        <v>37980</v>
      </c>
      <c r="H3" s="33">
        <v>37980</v>
      </c>
      <c r="I3" s="33">
        <v>18990</v>
      </c>
      <c r="J3" s="32" t="s">
        <v>218</v>
      </c>
    </row>
    <row r="4" spans="1:10" x14ac:dyDescent="0.25">
      <c r="A4" s="30" t="s">
        <v>216</v>
      </c>
      <c r="B4" s="30" t="s">
        <v>217</v>
      </c>
      <c r="C4" s="30" t="s">
        <v>231</v>
      </c>
      <c r="D4" s="30">
        <v>549</v>
      </c>
      <c r="E4" s="31">
        <v>10</v>
      </c>
      <c r="F4" s="31">
        <v>15</v>
      </c>
      <c r="G4" s="31">
        <v>8235</v>
      </c>
      <c r="H4" s="31">
        <v>8235</v>
      </c>
      <c r="I4" s="31">
        <v>2745</v>
      </c>
      <c r="J4" s="30" t="s">
        <v>233</v>
      </c>
    </row>
    <row r="5" spans="1:10" x14ac:dyDescent="0.25">
      <c r="A5" s="32" t="s">
        <v>224</v>
      </c>
      <c r="B5" s="32" t="s">
        <v>217</v>
      </c>
      <c r="C5" s="32" t="s">
        <v>237</v>
      </c>
      <c r="D5" s="32">
        <v>1804</v>
      </c>
      <c r="E5" s="33">
        <v>120</v>
      </c>
      <c r="F5" s="33">
        <v>125</v>
      </c>
      <c r="G5" s="33">
        <v>225500</v>
      </c>
      <c r="H5" s="33">
        <v>225500</v>
      </c>
      <c r="I5" s="33">
        <v>9020</v>
      </c>
      <c r="J5" s="32" t="s">
        <v>232</v>
      </c>
    </row>
    <row r="6" spans="1:10" x14ac:dyDescent="0.25">
      <c r="A6" s="30" t="s">
        <v>216</v>
      </c>
      <c r="B6" s="30" t="s">
        <v>217</v>
      </c>
      <c r="C6" s="30" t="s">
        <v>238</v>
      </c>
      <c r="D6" s="30">
        <v>2178</v>
      </c>
      <c r="E6" s="31">
        <v>250</v>
      </c>
      <c r="F6" s="31">
        <v>15</v>
      </c>
      <c r="G6" s="31">
        <v>32670</v>
      </c>
      <c r="H6" s="31">
        <v>32670</v>
      </c>
      <c r="I6" s="31">
        <v>10890</v>
      </c>
      <c r="J6" s="30" t="s">
        <v>218</v>
      </c>
    </row>
    <row r="7" spans="1:10" x14ac:dyDescent="0.25">
      <c r="A7" s="32" t="s">
        <v>211</v>
      </c>
      <c r="B7" s="32" t="s">
        <v>217</v>
      </c>
      <c r="C7" s="32" t="s">
        <v>238</v>
      </c>
      <c r="D7" s="32">
        <v>1527</v>
      </c>
      <c r="E7" s="33">
        <v>250</v>
      </c>
      <c r="F7" s="33">
        <v>350</v>
      </c>
      <c r="G7" s="33">
        <v>534450</v>
      </c>
      <c r="H7" s="33">
        <v>534450</v>
      </c>
      <c r="I7" s="33">
        <v>137430</v>
      </c>
      <c r="J7" s="32" t="s">
        <v>233</v>
      </c>
    </row>
    <row r="8" spans="1:10" x14ac:dyDescent="0.25">
      <c r="A8" s="30" t="s">
        <v>226</v>
      </c>
      <c r="B8" s="30" t="s">
        <v>217</v>
      </c>
      <c r="C8" s="30" t="s">
        <v>238</v>
      </c>
      <c r="D8" s="30">
        <v>2151</v>
      </c>
      <c r="E8" s="31">
        <v>250</v>
      </c>
      <c r="F8" s="31">
        <v>300</v>
      </c>
      <c r="G8" s="31">
        <v>645300</v>
      </c>
      <c r="H8" s="31">
        <v>645300</v>
      </c>
      <c r="I8" s="31">
        <v>107550</v>
      </c>
      <c r="J8" s="30" t="s">
        <v>228</v>
      </c>
    </row>
    <row r="9" spans="1:10" x14ac:dyDescent="0.25">
      <c r="A9" s="32" t="s">
        <v>211</v>
      </c>
      <c r="B9" s="32" t="s">
        <v>217</v>
      </c>
      <c r="C9" s="32" t="s">
        <v>240</v>
      </c>
      <c r="D9" s="32">
        <v>2750</v>
      </c>
      <c r="E9" s="33">
        <v>260</v>
      </c>
      <c r="F9" s="33">
        <v>350</v>
      </c>
      <c r="G9" s="33">
        <v>962500</v>
      </c>
      <c r="H9" s="33">
        <v>962500</v>
      </c>
      <c r="I9" s="33">
        <v>247500</v>
      </c>
      <c r="J9" s="32" t="s">
        <v>232</v>
      </c>
    </row>
    <row r="10" spans="1:10" x14ac:dyDescent="0.25">
      <c r="A10" s="30" t="s">
        <v>211</v>
      </c>
      <c r="B10" s="30" t="s">
        <v>217</v>
      </c>
      <c r="C10" s="30" t="s">
        <v>240</v>
      </c>
      <c r="D10" s="30">
        <v>1899</v>
      </c>
      <c r="E10" s="31">
        <v>260</v>
      </c>
      <c r="F10" s="31">
        <v>20</v>
      </c>
      <c r="G10" s="31">
        <v>37980</v>
      </c>
      <c r="H10" s="31">
        <v>37980</v>
      </c>
      <c r="I10" s="31">
        <v>18990</v>
      </c>
      <c r="J10" s="30" t="s">
        <v>218</v>
      </c>
    </row>
    <row r="11" spans="1:10" x14ac:dyDescent="0.25">
      <c r="A11" s="32" t="s">
        <v>211</v>
      </c>
      <c r="B11" s="32" t="s">
        <v>217</v>
      </c>
      <c r="C11" s="32" t="s">
        <v>231</v>
      </c>
      <c r="D11" s="32">
        <v>3945</v>
      </c>
      <c r="E11" s="33">
        <v>10</v>
      </c>
      <c r="F11" s="33">
        <v>7</v>
      </c>
      <c r="G11" s="33">
        <v>27615</v>
      </c>
      <c r="H11" s="33">
        <v>27338.850000000002</v>
      </c>
      <c r="I11" s="33">
        <v>7613.8500000000022</v>
      </c>
      <c r="J11" s="32" t="s">
        <v>214</v>
      </c>
    </row>
    <row r="12" spans="1:10" x14ac:dyDescent="0.25">
      <c r="A12" s="30" t="s">
        <v>216</v>
      </c>
      <c r="B12" s="30" t="s">
        <v>217</v>
      </c>
      <c r="C12" s="30" t="s">
        <v>231</v>
      </c>
      <c r="D12" s="30">
        <v>2296</v>
      </c>
      <c r="E12" s="31">
        <v>10</v>
      </c>
      <c r="F12" s="31">
        <v>15</v>
      </c>
      <c r="G12" s="31">
        <v>34440</v>
      </c>
      <c r="H12" s="31">
        <v>34095.599999999999</v>
      </c>
      <c r="I12" s="31">
        <v>11135.599999999999</v>
      </c>
      <c r="J12" s="30" t="s">
        <v>232</v>
      </c>
    </row>
    <row r="13" spans="1:10" x14ac:dyDescent="0.25">
      <c r="A13" s="32" t="s">
        <v>211</v>
      </c>
      <c r="B13" s="32" t="s">
        <v>217</v>
      </c>
      <c r="C13" s="32" t="s">
        <v>231</v>
      </c>
      <c r="D13" s="32">
        <v>1030</v>
      </c>
      <c r="E13" s="33">
        <v>10</v>
      </c>
      <c r="F13" s="33">
        <v>7</v>
      </c>
      <c r="G13" s="33">
        <v>7210</v>
      </c>
      <c r="H13" s="33">
        <v>7137.9</v>
      </c>
      <c r="I13" s="33">
        <v>1987.8999999999996</v>
      </c>
      <c r="J13" s="32" t="s">
        <v>241</v>
      </c>
    </row>
    <row r="14" spans="1:10" x14ac:dyDescent="0.25">
      <c r="A14" s="30" t="s">
        <v>211</v>
      </c>
      <c r="B14" s="30" t="s">
        <v>217</v>
      </c>
      <c r="C14" s="30" t="s">
        <v>237</v>
      </c>
      <c r="D14" s="30">
        <v>639</v>
      </c>
      <c r="E14" s="31">
        <v>120</v>
      </c>
      <c r="F14" s="31">
        <v>7</v>
      </c>
      <c r="G14" s="31">
        <v>4473</v>
      </c>
      <c r="H14" s="31">
        <v>4428.2700000000004</v>
      </c>
      <c r="I14" s="31">
        <v>1233.2700000000004</v>
      </c>
      <c r="J14" s="30" t="s">
        <v>242</v>
      </c>
    </row>
    <row r="15" spans="1:10" x14ac:dyDescent="0.25">
      <c r="A15" s="32" t="s">
        <v>223</v>
      </c>
      <c r="B15" s="32" t="s">
        <v>217</v>
      </c>
      <c r="C15" s="32" t="s">
        <v>213</v>
      </c>
      <c r="D15" s="32">
        <v>2671</v>
      </c>
      <c r="E15" s="33">
        <v>3</v>
      </c>
      <c r="F15" s="33">
        <v>12</v>
      </c>
      <c r="G15" s="33">
        <v>32052</v>
      </c>
      <c r="H15" s="33">
        <v>31731.48</v>
      </c>
      <c r="I15" s="33">
        <v>23718.48</v>
      </c>
      <c r="J15" s="32" t="s">
        <v>228</v>
      </c>
    </row>
    <row r="16" spans="1:10" x14ac:dyDescent="0.25">
      <c r="A16" s="30" t="s">
        <v>211</v>
      </c>
      <c r="B16" s="30" t="s">
        <v>217</v>
      </c>
      <c r="C16" s="30" t="s">
        <v>213</v>
      </c>
      <c r="D16" s="30">
        <v>2155</v>
      </c>
      <c r="E16" s="31">
        <v>3</v>
      </c>
      <c r="F16" s="31">
        <v>350</v>
      </c>
      <c r="G16" s="31">
        <v>754250</v>
      </c>
      <c r="H16" s="31">
        <v>746707.5</v>
      </c>
      <c r="I16" s="31">
        <v>186407.5</v>
      </c>
      <c r="J16" s="30" t="s">
        <v>220</v>
      </c>
    </row>
    <row r="17" spans="1:10" x14ac:dyDescent="0.25">
      <c r="A17" s="32" t="s">
        <v>211</v>
      </c>
      <c r="B17" s="32" t="s">
        <v>217</v>
      </c>
      <c r="C17" s="32" t="s">
        <v>221</v>
      </c>
      <c r="D17" s="32">
        <v>1375.5</v>
      </c>
      <c r="E17" s="33">
        <v>5</v>
      </c>
      <c r="F17" s="33">
        <v>20</v>
      </c>
      <c r="G17" s="33">
        <v>27510</v>
      </c>
      <c r="H17" s="33">
        <v>27234.899999999998</v>
      </c>
      <c r="I17" s="33">
        <v>13479.899999999998</v>
      </c>
      <c r="J17" s="32" t="s">
        <v>225</v>
      </c>
    </row>
    <row r="18" spans="1:10" x14ac:dyDescent="0.25">
      <c r="A18" s="30" t="s">
        <v>224</v>
      </c>
      <c r="B18" s="30" t="s">
        <v>217</v>
      </c>
      <c r="C18" s="30" t="s">
        <v>231</v>
      </c>
      <c r="D18" s="30">
        <v>787</v>
      </c>
      <c r="E18" s="31">
        <v>10</v>
      </c>
      <c r="F18" s="31">
        <v>125</v>
      </c>
      <c r="G18" s="31">
        <v>98375</v>
      </c>
      <c r="H18" s="31">
        <v>97391.25</v>
      </c>
      <c r="I18" s="31">
        <v>2951.25</v>
      </c>
      <c r="J18" s="30" t="s">
        <v>218</v>
      </c>
    </row>
    <row r="19" spans="1:10" x14ac:dyDescent="0.25">
      <c r="A19" s="32" t="s">
        <v>211</v>
      </c>
      <c r="B19" s="32" t="s">
        <v>217</v>
      </c>
      <c r="C19" s="32" t="s">
        <v>231</v>
      </c>
      <c r="D19" s="32">
        <v>2155</v>
      </c>
      <c r="E19" s="33">
        <v>10</v>
      </c>
      <c r="F19" s="33">
        <v>350</v>
      </c>
      <c r="G19" s="33">
        <v>754250</v>
      </c>
      <c r="H19" s="33">
        <v>746707.5</v>
      </c>
      <c r="I19" s="33">
        <v>186407.5</v>
      </c>
      <c r="J19" s="32" t="s">
        <v>220</v>
      </c>
    </row>
    <row r="20" spans="1:10" x14ac:dyDescent="0.25">
      <c r="A20" s="30" t="s">
        <v>211</v>
      </c>
      <c r="B20" s="30" t="s">
        <v>217</v>
      </c>
      <c r="C20" s="30" t="s">
        <v>237</v>
      </c>
      <c r="D20" s="30">
        <v>3864</v>
      </c>
      <c r="E20" s="31">
        <v>120</v>
      </c>
      <c r="F20" s="31">
        <v>20</v>
      </c>
      <c r="G20" s="31">
        <v>77280</v>
      </c>
      <c r="H20" s="31">
        <v>76507.200000000012</v>
      </c>
      <c r="I20" s="31">
        <v>37867.200000000004</v>
      </c>
      <c r="J20" s="30" t="s">
        <v>239</v>
      </c>
    </row>
    <row r="21" spans="1:10" x14ac:dyDescent="0.25">
      <c r="A21" s="32" t="s">
        <v>224</v>
      </c>
      <c r="B21" s="32" t="s">
        <v>217</v>
      </c>
      <c r="C21" s="32" t="s">
        <v>238</v>
      </c>
      <c r="D21" s="32">
        <v>787</v>
      </c>
      <c r="E21" s="33">
        <v>250</v>
      </c>
      <c r="F21" s="33">
        <v>125</v>
      </c>
      <c r="G21" s="33">
        <v>98375</v>
      </c>
      <c r="H21" s="33">
        <v>97391.25</v>
      </c>
      <c r="I21" s="33">
        <v>2951.25</v>
      </c>
      <c r="J21" s="32" t="s">
        <v>218</v>
      </c>
    </row>
    <row r="22" spans="1:10" x14ac:dyDescent="0.25">
      <c r="A22" s="30" t="s">
        <v>224</v>
      </c>
      <c r="B22" s="30" t="s">
        <v>217</v>
      </c>
      <c r="C22" s="30" t="s">
        <v>238</v>
      </c>
      <c r="D22" s="30">
        <v>1744</v>
      </c>
      <c r="E22" s="31">
        <v>250</v>
      </c>
      <c r="F22" s="31">
        <v>125</v>
      </c>
      <c r="G22" s="31">
        <v>218000</v>
      </c>
      <c r="H22" s="31">
        <v>215820</v>
      </c>
      <c r="I22" s="31">
        <v>6540</v>
      </c>
      <c r="J22" s="30" t="s">
        <v>242</v>
      </c>
    </row>
    <row r="23" spans="1:10" x14ac:dyDescent="0.25">
      <c r="A23" s="32" t="s">
        <v>216</v>
      </c>
      <c r="B23" s="32" t="s">
        <v>217</v>
      </c>
      <c r="C23" s="32" t="s">
        <v>240</v>
      </c>
      <c r="D23" s="32">
        <v>321</v>
      </c>
      <c r="E23" s="33">
        <v>260</v>
      </c>
      <c r="F23" s="33">
        <v>15</v>
      </c>
      <c r="G23" s="33">
        <v>4815</v>
      </c>
      <c r="H23" s="33">
        <v>4766.8500000000004</v>
      </c>
      <c r="I23" s="33">
        <v>1556.8500000000004</v>
      </c>
      <c r="J23" s="32" t="s">
        <v>235</v>
      </c>
    </row>
    <row r="24" spans="1:10" x14ac:dyDescent="0.25">
      <c r="A24" s="30" t="s">
        <v>211</v>
      </c>
      <c r="B24" s="30" t="s">
        <v>217</v>
      </c>
      <c r="C24" s="30" t="s">
        <v>213</v>
      </c>
      <c r="D24" s="30">
        <v>2145</v>
      </c>
      <c r="E24" s="31">
        <v>3</v>
      </c>
      <c r="F24" s="31">
        <v>7</v>
      </c>
      <c r="G24" s="31">
        <v>15015</v>
      </c>
      <c r="H24" s="31">
        <v>14714.7</v>
      </c>
      <c r="I24" s="31">
        <v>3989.7000000000007</v>
      </c>
      <c r="J24" s="30" t="s">
        <v>235</v>
      </c>
    </row>
    <row r="25" spans="1:10" x14ac:dyDescent="0.25">
      <c r="A25" s="32" t="s">
        <v>226</v>
      </c>
      <c r="B25" s="32" t="s">
        <v>217</v>
      </c>
      <c r="C25" s="32" t="s">
        <v>231</v>
      </c>
      <c r="D25" s="32">
        <v>918</v>
      </c>
      <c r="E25" s="33">
        <v>10</v>
      </c>
      <c r="F25" s="33">
        <v>300</v>
      </c>
      <c r="G25" s="33">
        <v>275400</v>
      </c>
      <c r="H25" s="33">
        <v>269892</v>
      </c>
      <c r="I25" s="33">
        <v>40392</v>
      </c>
      <c r="J25" s="32" t="s">
        <v>241</v>
      </c>
    </row>
    <row r="26" spans="1:10" x14ac:dyDescent="0.25">
      <c r="A26" s="30" t="s">
        <v>223</v>
      </c>
      <c r="B26" s="30" t="s">
        <v>217</v>
      </c>
      <c r="C26" s="30" t="s">
        <v>231</v>
      </c>
      <c r="D26" s="30">
        <v>1785</v>
      </c>
      <c r="E26" s="31">
        <v>10</v>
      </c>
      <c r="F26" s="31">
        <v>12</v>
      </c>
      <c r="G26" s="31">
        <v>21420</v>
      </c>
      <c r="H26" s="31">
        <v>20991.599999999999</v>
      </c>
      <c r="I26" s="31">
        <v>15636.599999999999</v>
      </c>
      <c r="J26" s="30" t="s">
        <v>235</v>
      </c>
    </row>
    <row r="27" spans="1:10" x14ac:dyDescent="0.25">
      <c r="A27" s="32" t="s">
        <v>223</v>
      </c>
      <c r="B27" s="32" t="s">
        <v>217</v>
      </c>
      <c r="C27" s="32" t="s">
        <v>231</v>
      </c>
      <c r="D27" s="32">
        <v>1055</v>
      </c>
      <c r="E27" s="33">
        <v>10</v>
      </c>
      <c r="F27" s="33">
        <v>12</v>
      </c>
      <c r="G27" s="33">
        <v>12660</v>
      </c>
      <c r="H27" s="33">
        <v>12406.8</v>
      </c>
      <c r="I27" s="33">
        <v>9241.7999999999993</v>
      </c>
      <c r="J27" s="32" t="s">
        <v>220</v>
      </c>
    </row>
    <row r="28" spans="1:10" x14ac:dyDescent="0.25">
      <c r="A28" s="30" t="s">
        <v>223</v>
      </c>
      <c r="B28" s="30" t="s">
        <v>217</v>
      </c>
      <c r="C28" s="30" t="s">
        <v>237</v>
      </c>
      <c r="D28" s="30">
        <v>1055</v>
      </c>
      <c r="E28" s="31">
        <v>120</v>
      </c>
      <c r="F28" s="31">
        <v>12</v>
      </c>
      <c r="G28" s="31">
        <v>12660</v>
      </c>
      <c r="H28" s="31">
        <v>12406.8</v>
      </c>
      <c r="I28" s="31">
        <v>9241.7999999999993</v>
      </c>
      <c r="J28" s="30" t="s">
        <v>220</v>
      </c>
    </row>
    <row r="29" spans="1:10" x14ac:dyDescent="0.25">
      <c r="A29" s="32" t="s">
        <v>211</v>
      </c>
      <c r="B29" s="32" t="s">
        <v>217</v>
      </c>
      <c r="C29" s="32" t="s">
        <v>240</v>
      </c>
      <c r="D29" s="32">
        <v>941</v>
      </c>
      <c r="E29" s="33">
        <v>260</v>
      </c>
      <c r="F29" s="33">
        <v>20</v>
      </c>
      <c r="G29" s="33">
        <v>18820</v>
      </c>
      <c r="H29" s="33">
        <v>18443.599999999999</v>
      </c>
      <c r="I29" s="33">
        <v>9033.5999999999985</v>
      </c>
      <c r="J29" s="32" t="s">
        <v>242</v>
      </c>
    </row>
    <row r="30" spans="1:10" x14ac:dyDescent="0.25">
      <c r="A30" s="30" t="s">
        <v>224</v>
      </c>
      <c r="B30" s="30" t="s">
        <v>217</v>
      </c>
      <c r="C30" s="30" t="s">
        <v>213</v>
      </c>
      <c r="D30" s="30">
        <v>4243.5</v>
      </c>
      <c r="E30" s="31">
        <v>3</v>
      </c>
      <c r="F30" s="31">
        <v>125</v>
      </c>
      <c r="G30" s="31">
        <v>530437.5</v>
      </c>
      <c r="H30" s="31">
        <v>514524.375</v>
      </c>
      <c r="I30" s="31">
        <v>5304.375</v>
      </c>
      <c r="J30" s="30" t="s">
        <v>239</v>
      </c>
    </row>
    <row r="31" spans="1:10" x14ac:dyDescent="0.25">
      <c r="A31" s="32" t="s">
        <v>223</v>
      </c>
      <c r="B31" s="32" t="s">
        <v>217</v>
      </c>
      <c r="C31" s="32" t="s">
        <v>221</v>
      </c>
      <c r="D31" s="32">
        <v>1901</v>
      </c>
      <c r="E31" s="33">
        <v>5</v>
      </c>
      <c r="F31" s="33">
        <v>12</v>
      </c>
      <c r="G31" s="33">
        <v>22812</v>
      </c>
      <c r="H31" s="33">
        <v>22127.64</v>
      </c>
      <c r="I31" s="33">
        <v>16424.64</v>
      </c>
      <c r="J31" s="32" t="s">
        <v>218</v>
      </c>
    </row>
    <row r="32" spans="1:10" x14ac:dyDescent="0.25">
      <c r="A32" s="30" t="s">
        <v>211</v>
      </c>
      <c r="B32" s="30" t="s">
        <v>217</v>
      </c>
      <c r="C32" s="30" t="s">
        <v>221</v>
      </c>
      <c r="D32" s="30">
        <v>544</v>
      </c>
      <c r="E32" s="31">
        <v>5</v>
      </c>
      <c r="F32" s="31">
        <v>7</v>
      </c>
      <c r="G32" s="31">
        <v>3808</v>
      </c>
      <c r="H32" s="31">
        <v>3693.76</v>
      </c>
      <c r="I32" s="31">
        <v>973.76000000000022</v>
      </c>
      <c r="J32" s="30" t="s">
        <v>228</v>
      </c>
    </row>
    <row r="33" spans="1:10" x14ac:dyDescent="0.25">
      <c r="A33" s="32" t="s">
        <v>224</v>
      </c>
      <c r="B33" s="32" t="s">
        <v>217</v>
      </c>
      <c r="C33" s="32" t="s">
        <v>221</v>
      </c>
      <c r="D33" s="32">
        <v>1287</v>
      </c>
      <c r="E33" s="33">
        <v>5</v>
      </c>
      <c r="F33" s="33">
        <v>125</v>
      </c>
      <c r="G33" s="33">
        <v>160875</v>
      </c>
      <c r="H33" s="33">
        <v>156048.75</v>
      </c>
      <c r="I33" s="33">
        <v>1608.75</v>
      </c>
      <c r="J33" s="32" t="s">
        <v>220</v>
      </c>
    </row>
    <row r="34" spans="1:10" x14ac:dyDescent="0.25">
      <c r="A34" s="30" t="s">
        <v>226</v>
      </c>
      <c r="B34" s="30" t="s">
        <v>217</v>
      </c>
      <c r="C34" s="30" t="s">
        <v>231</v>
      </c>
      <c r="D34" s="30">
        <v>2434.5</v>
      </c>
      <c r="E34" s="31">
        <v>10</v>
      </c>
      <c r="F34" s="31">
        <v>300</v>
      </c>
      <c r="G34" s="31">
        <v>730350</v>
      </c>
      <c r="H34" s="31">
        <v>708439.5</v>
      </c>
      <c r="I34" s="31">
        <v>99814.5</v>
      </c>
      <c r="J34" s="30" t="s">
        <v>214</v>
      </c>
    </row>
    <row r="35" spans="1:10" x14ac:dyDescent="0.25">
      <c r="A35" s="32" t="s">
        <v>223</v>
      </c>
      <c r="B35" s="32" t="s">
        <v>217</v>
      </c>
      <c r="C35" s="32" t="s">
        <v>231</v>
      </c>
      <c r="D35" s="32">
        <v>1901</v>
      </c>
      <c r="E35" s="33">
        <v>10</v>
      </c>
      <c r="F35" s="33">
        <v>12</v>
      </c>
      <c r="G35" s="33">
        <v>22812</v>
      </c>
      <c r="H35" s="33">
        <v>22127.64</v>
      </c>
      <c r="I35" s="33">
        <v>16424.64</v>
      </c>
      <c r="J35" s="32" t="s">
        <v>218</v>
      </c>
    </row>
    <row r="36" spans="1:10" x14ac:dyDescent="0.25">
      <c r="A36" s="30" t="s">
        <v>224</v>
      </c>
      <c r="B36" s="30" t="s">
        <v>217</v>
      </c>
      <c r="C36" s="30" t="s">
        <v>231</v>
      </c>
      <c r="D36" s="30">
        <v>1287</v>
      </c>
      <c r="E36" s="31">
        <v>10</v>
      </c>
      <c r="F36" s="31">
        <v>125</v>
      </c>
      <c r="G36" s="31">
        <v>160875</v>
      </c>
      <c r="H36" s="31">
        <v>156048.75</v>
      </c>
      <c r="I36" s="31">
        <v>1608.75</v>
      </c>
      <c r="J36" s="30" t="s">
        <v>220</v>
      </c>
    </row>
    <row r="37" spans="1:10" x14ac:dyDescent="0.25">
      <c r="A37" s="32" t="s">
        <v>216</v>
      </c>
      <c r="B37" s="32" t="s">
        <v>217</v>
      </c>
      <c r="C37" s="32" t="s">
        <v>231</v>
      </c>
      <c r="D37" s="32">
        <v>2261</v>
      </c>
      <c r="E37" s="33">
        <v>10</v>
      </c>
      <c r="F37" s="33">
        <v>15</v>
      </c>
      <c r="G37" s="33">
        <v>33915</v>
      </c>
      <c r="H37" s="33">
        <v>32558.400000000001</v>
      </c>
      <c r="I37" s="33">
        <v>9948.4000000000015</v>
      </c>
      <c r="J37" s="32" t="s">
        <v>236</v>
      </c>
    </row>
    <row r="38" spans="1:10" x14ac:dyDescent="0.25">
      <c r="A38" s="30" t="s">
        <v>224</v>
      </c>
      <c r="B38" s="30" t="s">
        <v>217</v>
      </c>
      <c r="C38" s="30" t="s">
        <v>231</v>
      </c>
      <c r="D38" s="30">
        <v>2988</v>
      </c>
      <c r="E38" s="31">
        <v>10</v>
      </c>
      <c r="F38" s="31">
        <v>125</v>
      </c>
      <c r="G38" s="31">
        <v>373500</v>
      </c>
      <c r="H38" s="31">
        <v>358560</v>
      </c>
      <c r="I38" s="31">
        <v>0</v>
      </c>
      <c r="J38" s="30" t="s">
        <v>225</v>
      </c>
    </row>
    <row r="39" spans="1:10" x14ac:dyDescent="0.25">
      <c r="A39" s="32" t="s">
        <v>211</v>
      </c>
      <c r="B39" s="32" t="s">
        <v>217</v>
      </c>
      <c r="C39" s="32" t="s">
        <v>237</v>
      </c>
      <c r="D39" s="32">
        <v>2177</v>
      </c>
      <c r="E39" s="33">
        <v>120</v>
      </c>
      <c r="F39" s="33">
        <v>350</v>
      </c>
      <c r="G39" s="33">
        <v>761950</v>
      </c>
      <c r="H39" s="33">
        <v>731472</v>
      </c>
      <c r="I39" s="33">
        <v>165452</v>
      </c>
      <c r="J39" s="32" t="s">
        <v>234</v>
      </c>
    </row>
    <row r="40" spans="1:10" x14ac:dyDescent="0.25">
      <c r="A40" s="30" t="s">
        <v>223</v>
      </c>
      <c r="B40" s="30" t="s">
        <v>217</v>
      </c>
      <c r="C40" s="30" t="s">
        <v>238</v>
      </c>
      <c r="D40" s="30">
        <v>866</v>
      </c>
      <c r="E40" s="31">
        <v>250</v>
      </c>
      <c r="F40" s="31">
        <v>12</v>
      </c>
      <c r="G40" s="31">
        <v>10392</v>
      </c>
      <c r="H40" s="31">
        <v>9976.32</v>
      </c>
      <c r="I40" s="31">
        <v>7378.32</v>
      </c>
      <c r="J40" s="30" t="s">
        <v>241</v>
      </c>
    </row>
    <row r="41" spans="1:10" x14ac:dyDescent="0.25">
      <c r="A41" s="32" t="s">
        <v>211</v>
      </c>
      <c r="B41" s="32" t="s">
        <v>217</v>
      </c>
      <c r="C41" s="32" t="s">
        <v>238</v>
      </c>
      <c r="D41" s="32">
        <v>2177</v>
      </c>
      <c r="E41" s="33">
        <v>250</v>
      </c>
      <c r="F41" s="33">
        <v>350</v>
      </c>
      <c r="G41" s="33">
        <v>761950</v>
      </c>
      <c r="H41" s="33">
        <v>731472</v>
      </c>
      <c r="I41" s="33">
        <v>165452</v>
      </c>
      <c r="J41" s="32" t="s">
        <v>234</v>
      </c>
    </row>
    <row r="42" spans="1:10" x14ac:dyDescent="0.25">
      <c r="A42" s="30" t="s">
        <v>223</v>
      </c>
      <c r="B42" s="30" t="s">
        <v>217</v>
      </c>
      <c r="C42" s="30" t="s">
        <v>213</v>
      </c>
      <c r="D42" s="30">
        <v>1865</v>
      </c>
      <c r="E42" s="31">
        <v>3</v>
      </c>
      <c r="F42" s="31">
        <v>12</v>
      </c>
      <c r="G42" s="31">
        <v>22380</v>
      </c>
      <c r="H42" s="31">
        <v>21261</v>
      </c>
      <c r="I42" s="31">
        <v>15666</v>
      </c>
      <c r="J42" s="30" t="s">
        <v>232</v>
      </c>
    </row>
    <row r="43" spans="1:10" x14ac:dyDescent="0.25">
      <c r="A43" s="32" t="s">
        <v>211</v>
      </c>
      <c r="B43" s="32" t="s">
        <v>217</v>
      </c>
      <c r="C43" s="32" t="s">
        <v>213</v>
      </c>
      <c r="D43" s="32">
        <v>1563</v>
      </c>
      <c r="E43" s="33">
        <v>3</v>
      </c>
      <c r="F43" s="33">
        <v>20</v>
      </c>
      <c r="G43" s="33">
        <v>31260</v>
      </c>
      <c r="H43" s="33">
        <v>29697</v>
      </c>
      <c r="I43" s="33">
        <v>14067</v>
      </c>
      <c r="J43" s="32" t="s">
        <v>241</v>
      </c>
    </row>
    <row r="44" spans="1:10" x14ac:dyDescent="0.25">
      <c r="A44" s="30" t="s">
        <v>211</v>
      </c>
      <c r="B44" s="30" t="s">
        <v>217</v>
      </c>
      <c r="C44" s="30" t="s">
        <v>213</v>
      </c>
      <c r="D44" s="30">
        <v>2487</v>
      </c>
      <c r="E44" s="31">
        <v>3</v>
      </c>
      <c r="F44" s="31">
        <v>7</v>
      </c>
      <c r="G44" s="31">
        <v>17409</v>
      </c>
      <c r="H44" s="31">
        <v>16538.55</v>
      </c>
      <c r="I44" s="31">
        <v>4103.5499999999993</v>
      </c>
      <c r="J44" s="30" t="s">
        <v>220</v>
      </c>
    </row>
    <row r="45" spans="1:10" x14ac:dyDescent="0.25">
      <c r="A45" s="32" t="s">
        <v>211</v>
      </c>
      <c r="B45" s="32" t="s">
        <v>217</v>
      </c>
      <c r="C45" s="32" t="s">
        <v>221</v>
      </c>
      <c r="D45" s="32">
        <v>1384.5</v>
      </c>
      <c r="E45" s="33">
        <v>5</v>
      </c>
      <c r="F45" s="33">
        <v>350</v>
      </c>
      <c r="G45" s="33">
        <v>484575</v>
      </c>
      <c r="H45" s="33">
        <v>460346.25</v>
      </c>
      <c r="I45" s="33">
        <v>100376.25</v>
      </c>
      <c r="J45" s="32" t="s">
        <v>214</v>
      </c>
    </row>
    <row r="46" spans="1:10" x14ac:dyDescent="0.25">
      <c r="A46" s="30" t="s">
        <v>211</v>
      </c>
      <c r="B46" s="30" t="s">
        <v>217</v>
      </c>
      <c r="C46" s="30" t="s">
        <v>231</v>
      </c>
      <c r="D46" s="30">
        <v>1303</v>
      </c>
      <c r="E46" s="31">
        <v>10</v>
      </c>
      <c r="F46" s="31">
        <v>20</v>
      </c>
      <c r="G46" s="31">
        <v>26060</v>
      </c>
      <c r="H46" s="31">
        <v>24757</v>
      </c>
      <c r="I46" s="31">
        <v>11727</v>
      </c>
      <c r="J46" s="30" t="s">
        <v>232</v>
      </c>
    </row>
    <row r="47" spans="1:10" x14ac:dyDescent="0.25">
      <c r="A47" s="32" t="s">
        <v>224</v>
      </c>
      <c r="B47" s="32" t="s">
        <v>217</v>
      </c>
      <c r="C47" s="32" t="s">
        <v>231</v>
      </c>
      <c r="D47" s="32">
        <v>2385</v>
      </c>
      <c r="E47" s="33">
        <v>10</v>
      </c>
      <c r="F47" s="33">
        <v>125</v>
      </c>
      <c r="G47" s="33">
        <v>298125</v>
      </c>
      <c r="H47" s="33">
        <v>283218.75</v>
      </c>
      <c r="I47" s="33">
        <v>-2981.25</v>
      </c>
      <c r="J47" s="32" t="s">
        <v>222</v>
      </c>
    </row>
    <row r="48" spans="1:10" x14ac:dyDescent="0.25">
      <c r="A48" s="30" t="s">
        <v>216</v>
      </c>
      <c r="B48" s="30" t="s">
        <v>217</v>
      </c>
      <c r="C48" s="30" t="s">
        <v>231</v>
      </c>
      <c r="D48" s="30">
        <v>2620</v>
      </c>
      <c r="E48" s="31">
        <v>10</v>
      </c>
      <c r="F48" s="31">
        <v>15</v>
      </c>
      <c r="G48" s="31">
        <v>39300</v>
      </c>
      <c r="H48" s="31">
        <v>37335</v>
      </c>
      <c r="I48" s="31">
        <v>11135</v>
      </c>
      <c r="J48" s="30" t="s">
        <v>228</v>
      </c>
    </row>
    <row r="49" spans="1:10" x14ac:dyDescent="0.25">
      <c r="A49" s="32" t="s">
        <v>224</v>
      </c>
      <c r="B49" s="32" t="s">
        <v>217</v>
      </c>
      <c r="C49" s="32" t="s">
        <v>231</v>
      </c>
      <c r="D49" s="32">
        <v>704</v>
      </c>
      <c r="E49" s="33">
        <v>10</v>
      </c>
      <c r="F49" s="33">
        <v>125</v>
      </c>
      <c r="G49" s="33">
        <v>88000</v>
      </c>
      <c r="H49" s="33">
        <v>83600</v>
      </c>
      <c r="I49" s="33">
        <v>-880</v>
      </c>
      <c r="J49" s="32" t="s">
        <v>229</v>
      </c>
    </row>
    <row r="50" spans="1:10" x14ac:dyDescent="0.25">
      <c r="A50" s="30" t="s">
        <v>211</v>
      </c>
      <c r="B50" s="30" t="s">
        <v>217</v>
      </c>
      <c r="C50" s="30" t="s">
        <v>231</v>
      </c>
      <c r="D50" s="30">
        <v>2136</v>
      </c>
      <c r="E50" s="31">
        <v>10</v>
      </c>
      <c r="F50" s="31">
        <v>7</v>
      </c>
      <c r="G50" s="31">
        <v>14952</v>
      </c>
      <c r="H50" s="31">
        <v>14204.4</v>
      </c>
      <c r="I50" s="31">
        <v>3524.3999999999996</v>
      </c>
      <c r="J50" s="30" t="s">
        <v>236</v>
      </c>
    </row>
    <row r="51" spans="1:10" x14ac:dyDescent="0.25">
      <c r="A51" s="32" t="s">
        <v>211</v>
      </c>
      <c r="B51" s="32" t="s">
        <v>217</v>
      </c>
      <c r="C51" s="32" t="s">
        <v>237</v>
      </c>
      <c r="D51" s="32">
        <v>1579</v>
      </c>
      <c r="E51" s="33">
        <v>120</v>
      </c>
      <c r="F51" s="33">
        <v>20</v>
      </c>
      <c r="G51" s="33">
        <v>31580</v>
      </c>
      <c r="H51" s="33">
        <v>30001</v>
      </c>
      <c r="I51" s="33">
        <v>14211</v>
      </c>
      <c r="J51" s="32" t="s">
        <v>227</v>
      </c>
    </row>
    <row r="52" spans="1:10" x14ac:dyDescent="0.25">
      <c r="A52" s="30" t="s">
        <v>224</v>
      </c>
      <c r="B52" s="30" t="s">
        <v>217</v>
      </c>
      <c r="C52" s="30" t="s">
        <v>237</v>
      </c>
      <c r="D52" s="30">
        <v>704</v>
      </c>
      <c r="E52" s="31">
        <v>120</v>
      </c>
      <c r="F52" s="31">
        <v>125</v>
      </c>
      <c r="G52" s="31">
        <v>88000</v>
      </c>
      <c r="H52" s="31">
        <v>83600</v>
      </c>
      <c r="I52" s="31">
        <v>-880</v>
      </c>
      <c r="J52" s="30" t="s">
        <v>229</v>
      </c>
    </row>
    <row r="53" spans="1:10" x14ac:dyDescent="0.25">
      <c r="A53" s="32" t="s">
        <v>211</v>
      </c>
      <c r="B53" s="32" t="s">
        <v>217</v>
      </c>
      <c r="C53" s="32" t="s">
        <v>237</v>
      </c>
      <c r="D53" s="32">
        <v>1033</v>
      </c>
      <c r="E53" s="33">
        <v>120</v>
      </c>
      <c r="F53" s="33">
        <v>20</v>
      </c>
      <c r="G53" s="33">
        <v>20660</v>
      </c>
      <c r="H53" s="33">
        <v>19627</v>
      </c>
      <c r="I53" s="33">
        <v>9297</v>
      </c>
      <c r="J53" s="32" t="s">
        <v>236</v>
      </c>
    </row>
    <row r="54" spans="1:10" x14ac:dyDescent="0.25">
      <c r="A54" s="30" t="s">
        <v>211</v>
      </c>
      <c r="B54" s="30" t="s">
        <v>217</v>
      </c>
      <c r="C54" s="30" t="s">
        <v>238</v>
      </c>
      <c r="D54" s="30">
        <v>2487</v>
      </c>
      <c r="E54" s="31">
        <v>250</v>
      </c>
      <c r="F54" s="31">
        <v>7</v>
      </c>
      <c r="G54" s="31">
        <v>17409</v>
      </c>
      <c r="H54" s="31">
        <v>16538.55</v>
      </c>
      <c r="I54" s="31">
        <v>4103.5499999999993</v>
      </c>
      <c r="J54" s="30" t="s">
        <v>220</v>
      </c>
    </row>
    <row r="55" spans="1:10" x14ac:dyDescent="0.25">
      <c r="A55" s="32" t="s">
        <v>216</v>
      </c>
      <c r="B55" s="32" t="s">
        <v>217</v>
      </c>
      <c r="C55" s="32" t="s">
        <v>231</v>
      </c>
      <c r="D55" s="32">
        <v>3801</v>
      </c>
      <c r="E55" s="33">
        <v>10</v>
      </c>
      <c r="F55" s="33">
        <v>15</v>
      </c>
      <c r="G55" s="33">
        <v>57015</v>
      </c>
      <c r="H55" s="33">
        <v>53594.100000000006</v>
      </c>
      <c r="I55" s="33">
        <v>15584.100000000002</v>
      </c>
      <c r="J55" s="32" t="s">
        <v>239</v>
      </c>
    </row>
    <row r="56" spans="1:10" x14ac:dyDescent="0.25">
      <c r="A56" s="30" t="s">
        <v>211</v>
      </c>
      <c r="B56" s="30" t="s">
        <v>217</v>
      </c>
      <c r="C56" s="30" t="s">
        <v>221</v>
      </c>
      <c r="D56" s="30">
        <v>1403</v>
      </c>
      <c r="E56" s="31">
        <v>5</v>
      </c>
      <c r="F56" s="31">
        <v>7</v>
      </c>
      <c r="G56" s="31">
        <v>9821</v>
      </c>
      <c r="H56" s="31">
        <v>9231.74</v>
      </c>
      <c r="I56" s="31">
        <v>2216.7399999999998</v>
      </c>
      <c r="J56" s="30" t="s">
        <v>229</v>
      </c>
    </row>
    <row r="57" spans="1:10" x14ac:dyDescent="0.25">
      <c r="A57" s="32" t="s">
        <v>211</v>
      </c>
      <c r="B57" s="32" t="s">
        <v>217</v>
      </c>
      <c r="C57" s="32" t="s">
        <v>231</v>
      </c>
      <c r="D57" s="32">
        <v>1496</v>
      </c>
      <c r="E57" s="33">
        <v>10</v>
      </c>
      <c r="F57" s="33">
        <v>350</v>
      </c>
      <c r="G57" s="33">
        <v>523600</v>
      </c>
      <c r="H57" s="33">
        <v>492184</v>
      </c>
      <c r="I57" s="33">
        <v>103224</v>
      </c>
      <c r="J57" s="32" t="s">
        <v>218</v>
      </c>
    </row>
    <row r="58" spans="1:10" x14ac:dyDescent="0.25">
      <c r="A58" s="30" t="s">
        <v>211</v>
      </c>
      <c r="B58" s="30" t="s">
        <v>217</v>
      </c>
      <c r="C58" s="30" t="s">
        <v>237</v>
      </c>
      <c r="D58" s="30">
        <v>1496</v>
      </c>
      <c r="E58" s="31">
        <v>120</v>
      </c>
      <c r="F58" s="31">
        <v>350</v>
      </c>
      <c r="G58" s="31">
        <v>523600</v>
      </c>
      <c r="H58" s="31">
        <v>492184</v>
      </c>
      <c r="I58" s="31">
        <v>103224</v>
      </c>
      <c r="J58" s="30" t="s">
        <v>218</v>
      </c>
    </row>
    <row r="59" spans="1:10" x14ac:dyDescent="0.25">
      <c r="A59" s="32" t="s">
        <v>226</v>
      </c>
      <c r="B59" s="32" t="s">
        <v>217</v>
      </c>
      <c r="C59" s="32" t="s">
        <v>237</v>
      </c>
      <c r="D59" s="32">
        <v>1221</v>
      </c>
      <c r="E59" s="33">
        <v>120</v>
      </c>
      <c r="F59" s="33">
        <v>300</v>
      </c>
      <c r="G59" s="33">
        <v>366300</v>
      </c>
      <c r="H59" s="33">
        <v>344322</v>
      </c>
      <c r="I59" s="33">
        <v>39072</v>
      </c>
      <c r="J59" s="32" t="s">
        <v>229</v>
      </c>
    </row>
    <row r="60" spans="1:10" x14ac:dyDescent="0.25">
      <c r="A60" s="30" t="s">
        <v>211</v>
      </c>
      <c r="B60" s="30" t="s">
        <v>217</v>
      </c>
      <c r="C60" s="30" t="s">
        <v>237</v>
      </c>
      <c r="D60" s="30">
        <v>2076</v>
      </c>
      <c r="E60" s="31">
        <v>120</v>
      </c>
      <c r="F60" s="31">
        <v>350</v>
      </c>
      <c r="G60" s="31">
        <v>726600</v>
      </c>
      <c r="H60" s="31">
        <v>683004</v>
      </c>
      <c r="I60" s="31">
        <v>143244</v>
      </c>
      <c r="J60" s="30" t="s">
        <v>229</v>
      </c>
    </row>
    <row r="61" spans="1:10" x14ac:dyDescent="0.25">
      <c r="A61" s="32" t="s">
        <v>226</v>
      </c>
      <c r="B61" s="32" t="s">
        <v>217</v>
      </c>
      <c r="C61" s="32" t="s">
        <v>238</v>
      </c>
      <c r="D61" s="32">
        <v>1221</v>
      </c>
      <c r="E61" s="33">
        <v>250</v>
      </c>
      <c r="F61" s="33">
        <v>300</v>
      </c>
      <c r="G61" s="33">
        <v>366300</v>
      </c>
      <c r="H61" s="33">
        <v>344322</v>
      </c>
      <c r="I61" s="33">
        <v>39072</v>
      </c>
      <c r="J61" s="32" t="s">
        <v>229</v>
      </c>
    </row>
    <row r="62" spans="1:10" x14ac:dyDescent="0.25">
      <c r="A62" s="30" t="s">
        <v>224</v>
      </c>
      <c r="B62" s="30" t="s">
        <v>217</v>
      </c>
      <c r="C62" s="30" t="s">
        <v>240</v>
      </c>
      <c r="D62" s="30">
        <v>1987.5</v>
      </c>
      <c r="E62" s="31">
        <v>260</v>
      </c>
      <c r="F62" s="31">
        <v>125</v>
      </c>
      <c r="G62" s="31">
        <v>248437.5</v>
      </c>
      <c r="H62" s="31">
        <v>233531.25</v>
      </c>
      <c r="I62" s="31">
        <v>-4968.75</v>
      </c>
      <c r="J62" s="30" t="s">
        <v>214</v>
      </c>
    </row>
    <row r="63" spans="1:10" x14ac:dyDescent="0.25">
      <c r="A63" s="32" t="s">
        <v>211</v>
      </c>
      <c r="B63" s="32" t="s">
        <v>217</v>
      </c>
      <c r="C63" s="32" t="s">
        <v>240</v>
      </c>
      <c r="D63" s="32">
        <v>1403</v>
      </c>
      <c r="E63" s="33">
        <v>260</v>
      </c>
      <c r="F63" s="33">
        <v>7</v>
      </c>
      <c r="G63" s="33">
        <v>9821</v>
      </c>
      <c r="H63" s="33">
        <v>9231.74</v>
      </c>
      <c r="I63" s="33">
        <v>2216.7399999999998</v>
      </c>
      <c r="J63" s="32" t="s">
        <v>229</v>
      </c>
    </row>
    <row r="64" spans="1:10" x14ac:dyDescent="0.25">
      <c r="A64" s="30" t="s">
        <v>211</v>
      </c>
      <c r="B64" s="30" t="s">
        <v>217</v>
      </c>
      <c r="C64" s="30" t="s">
        <v>240</v>
      </c>
      <c r="D64" s="30">
        <v>2076</v>
      </c>
      <c r="E64" s="31">
        <v>260</v>
      </c>
      <c r="F64" s="31">
        <v>350</v>
      </c>
      <c r="G64" s="31">
        <v>726600</v>
      </c>
      <c r="H64" s="31">
        <v>683004</v>
      </c>
      <c r="I64" s="31">
        <v>143244</v>
      </c>
      <c r="J64" s="30" t="s">
        <v>229</v>
      </c>
    </row>
    <row r="65" spans="1:10" x14ac:dyDescent="0.25">
      <c r="A65" s="32" t="s">
        <v>211</v>
      </c>
      <c r="B65" s="32" t="s">
        <v>217</v>
      </c>
      <c r="C65" s="32" t="s">
        <v>221</v>
      </c>
      <c r="D65" s="32">
        <v>1757</v>
      </c>
      <c r="E65" s="33">
        <v>5</v>
      </c>
      <c r="F65" s="33">
        <v>20</v>
      </c>
      <c r="G65" s="33">
        <v>35140</v>
      </c>
      <c r="H65" s="33">
        <v>33031.599999999999</v>
      </c>
      <c r="I65" s="33">
        <v>15461.599999999999</v>
      </c>
      <c r="J65" s="32" t="s">
        <v>229</v>
      </c>
    </row>
    <row r="66" spans="1:10" x14ac:dyDescent="0.25">
      <c r="A66" s="30" t="s">
        <v>211</v>
      </c>
      <c r="B66" s="30" t="s">
        <v>217</v>
      </c>
      <c r="C66" s="30" t="s">
        <v>231</v>
      </c>
      <c r="D66" s="30">
        <v>1757</v>
      </c>
      <c r="E66" s="31">
        <v>10</v>
      </c>
      <c r="F66" s="31">
        <v>20</v>
      </c>
      <c r="G66" s="31">
        <v>35140</v>
      </c>
      <c r="H66" s="31">
        <v>33031.599999999999</v>
      </c>
      <c r="I66" s="31">
        <v>15461.599999999999</v>
      </c>
      <c r="J66" s="30" t="s">
        <v>229</v>
      </c>
    </row>
    <row r="67" spans="1:10" x14ac:dyDescent="0.25">
      <c r="A67" s="32" t="s">
        <v>223</v>
      </c>
      <c r="B67" s="32" t="s">
        <v>217</v>
      </c>
      <c r="C67" s="32" t="s">
        <v>221</v>
      </c>
      <c r="D67" s="32">
        <v>2342</v>
      </c>
      <c r="E67" s="33">
        <v>5</v>
      </c>
      <c r="F67" s="33">
        <v>12</v>
      </c>
      <c r="G67" s="33">
        <v>28104</v>
      </c>
      <c r="H67" s="33">
        <v>26136.720000000001</v>
      </c>
      <c r="I67" s="33">
        <v>19110.72</v>
      </c>
      <c r="J67" s="32" t="s">
        <v>242</v>
      </c>
    </row>
    <row r="68" spans="1:10" x14ac:dyDescent="0.25">
      <c r="A68" s="30" t="s">
        <v>211</v>
      </c>
      <c r="B68" s="30" t="s">
        <v>217</v>
      </c>
      <c r="C68" s="30" t="s">
        <v>231</v>
      </c>
      <c r="D68" s="30">
        <v>1031</v>
      </c>
      <c r="E68" s="31">
        <v>10</v>
      </c>
      <c r="F68" s="31">
        <v>7</v>
      </c>
      <c r="G68" s="31">
        <v>7217</v>
      </c>
      <c r="H68" s="31">
        <v>6711.81</v>
      </c>
      <c r="I68" s="31">
        <v>1556.8100000000004</v>
      </c>
      <c r="J68" s="30" t="s">
        <v>233</v>
      </c>
    </row>
    <row r="69" spans="1:10" x14ac:dyDescent="0.25">
      <c r="A69" s="32" t="s">
        <v>223</v>
      </c>
      <c r="B69" s="32" t="s">
        <v>217</v>
      </c>
      <c r="C69" s="32" t="s">
        <v>238</v>
      </c>
      <c r="D69" s="32">
        <v>1738.5</v>
      </c>
      <c r="E69" s="33">
        <v>250</v>
      </c>
      <c r="F69" s="33">
        <v>12</v>
      </c>
      <c r="G69" s="33">
        <v>20862</v>
      </c>
      <c r="H69" s="33">
        <v>19401.66</v>
      </c>
      <c r="I69" s="33">
        <v>14186.16</v>
      </c>
      <c r="J69" s="32" t="s">
        <v>239</v>
      </c>
    </row>
    <row r="70" spans="1:10" x14ac:dyDescent="0.25">
      <c r="A70" s="30" t="s">
        <v>226</v>
      </c>
      <c r="B70" s="30" t="s">
        <v>217</v>
      </c>
      <c r="C70" s="30" t="s">
        <v>213</v>
      </c>
      <c r="D70" s="30">
        <v>448</v>
      </c>
      <c r="E70" s="31">
        <v>3</v>
      </c>
      <c r="F70" s="31">
        <v>300</v>
      </c>
      <c r="G70" s="31">
        <v>134400</v>
      </c>
      <c r="H70" s="31">
        <v>124992</v>
      </c>
      <c r="I70" s="31">
        <v>12992</v>
      </c>
      <c r="J70" s="30" t="s">
        <v>218</v>
      </c>
    </row>
    <row r="71" spans="1:10" x14ac:dyDescent="0.25">
      <c r="A71" s="32" t="s">
        <v>226</v>
      </c>
      <c r="B71" s="32" t="s">
        <v>217</v>
      </c>
      <c r="C71" s="32" t="s">
        <v>213</v>
      </c>
      <c r="D71" s="32">
        <v>2181</v>
      </c>
      <c r="E71" s="33">
        <v>3</v>
      </c>
      <c r="F71" s="33">
        <v>300</v>
      </c>
      <c r="G71" s="33">
        <v>654300</v>
      </c>
      <c r="H71" s="33">
        <v>608499</v>
      </c>
      <c r="I71" s="33">
        <v>63249</v>
      </c>
      <c r="J71" s="32" t="s">
        <v>234</v>
      </c>
    </row>
    <row r="72" spans="1:10" x14ac:dyDescent="0.25">
      <c r="A72" s="30" t="s">
        <v>211</v>
      </c>
      <c r="B72" s="30" t="s">
        <v>217</v>
      </c>
      <c r="C72" s="30" t="s">
        <v>221</v>
      </c>
      <c r="D72" s="30">
        <v>1976</v>
      </c>
      <c r="E72" s="31">
        <v>5</v>
      </c>
      <c r="F72" s="31">
        <v>20</v>
      </c>
      <c r="G72" s="31">
        <v>39520</v>
      </c>
      <c r="H72" s="31">
        <v>36753.599999999999</v>
      </c>
      <c r="I72" s="31">
        <v>16993.599999999999</v>
      </c>
      <c r="J72" s="30" t="s">
        <v>234</v>
      </c>
    </row>
    <row r="73" spans="1:10" x14ac:dyDescent="0.25">
      <c r="A73" s="32" t="s">
        <v>226</v>
      </c>
      <c r="B73" s="32" t="s">
        <v>217</v>
      </c>
      <c r="C73" s="32" t="s">
        <v>221</v>
      </c>
      <c r="D73" s="32">
        <v>2181</v>
      </c>
      <c r="E73" s="33">
        <v>5</v>
      </c>
      <c r="F73" s="33">
        <v>300</v>
      </c>
      <c r="G73" s="33">
        <v>654300</v>
      </c>
      <c r="H73" s="33">
        <v>608499</v>
      </c>
      <c r="I73" s="33">
        <v>63249</v>
      </c>
      <c r="J73" s="32" t="s">
        <v>234</v>
      </c>
    </row>
    <row r="74" spans="1:10" x14ac:dyDescent="0.25">
      <c r="A74" s="30" t="s">
        <v>226</v>
      </c>
      <c r="B74" s="30" t="s">
        <v>217</v>
      </c>
      <c r="C74" s="30" t="s">
        <v>231</v>
      </c>
      <c r="D74" s="30">
        <v>448</v>
      </c>
      <c r="E74" s="31">
        <v>10</v>
      </c>
      <c r="F74" s="31">
        <v>300</v>
      </c>
      <c r="G74" s="31">
        <v>134400</v>
      </c>
      <c r="H74" s="31">
        <v>124992</v>
      </c>
      <c r="I74" s="31">
        <v>12992</v>
      </c>
      <c r="J74" s="30" t="s">
        <v>218</v>
      </c>
    </row>
    <row r="75" spans="1:10" x14ac:dyDescent="0.25">
      <c r="A75" s="32" t="s">
        <v>216</v>
      </c>
      <c r="B75" s="32" t="s">
        <v>217</v>
      </c>
      <c r="C75" s="32" t="s">
        <v>231</v>
      </c>
      <c r="D75" s="32">
        <v>2101</v>
      </c>
      <c r="E75" s="33">
        <v>10</v>
      </c>
      <c r="F75" s="33">
        <v>15</v>
      </c>
      <c r="G75" s="33">
        <v>31515</v>
      </c>
      <c r="H75" s="33">
        <v>29308.95</v>
      </c>
      <c r="I75" s="33">
        <v>8298.9500000000007</v>
      </c>
      <c r="J75" s="32" t="s">
        <v>227</v>
      </c>
    </row>
    <row r="76" spans="1:10" x14ac:dyDescent="0.25">
      <c r="A76" s="30" t="s">
        <v>211</v>
      </c>
      <c r="B76" s="30" t="s">
        <v>217</v>
      </c>
      <c r="C76" s="30" t="s">
        <v>231</v>
      </c>
      <c r="D76" s="30">
        <v>1535</v>
      </c>
      <c r="E76" s="31">
        <v>10</v>
      </c>
      <c r="F76" s="31">
        <v>20</v>
      </c>
      <c r="G76" s="31">
        <v>30700</v>
      </c>
      <c r="H76" s="31">
        <v>28551</v>
      </c>
      <c r="I76" s="31">
        <v>13201</v>
      </c>
      <c r="J76" s="30" t="s">
        <v>228</v>
      </c>
    </row>
    <row r="77" spans="1:10" x14ac:dyDescent="0.25">
      <c r="A77" s="32" t="s">
        <v>226</v>
      </c>
      <c r="B77" s="32" t="s">
        <v>217</v>
      </c>
      <c r="C77" s="32" t="s">
        <v>237</v>
      </c>
      <c r="D77" s="32">
        <v>1659</v>
      </c>
      <c r="E77" s="33">
        <v>120</v>
      </c>
      <c r="F77" s="33">
        <v>300</v>
      </c>
      <c r="G77" s="33">
        <v>497700</v>
      </c>
      <c r="H77" s="33">
        <v>462861</v>
      </c>
      <c r="I77" s="33">
        <v>48111</v>
      </c>
      <c r="J77" s="32" t="s">
        <v>225</v>
      </c>
    </row>
    <row r="78" spans="1:10" x14ac:dyDescent="0.25">
      <c r="A78" s="30" t="s">
        <v>211</v>
      </c>
      <c r="B78" s="30" t="s">
        <v>217</v>
      </c>
      <c r="C78" s="30" t="s">
        <v>237</v>
      </c>
      <c r="D78" s="30">
        <v>1976</v>
      </c>
      <c r="E78" s="31">
        <v>120</v>
      </c>
      <c r="F78" s="31">
        <v>20</v>
      </c>
      <c r="G78" s="31">
        <v>39520</v>
      </c>
      <c r="H78" s="31">
        <v>36753.599999999999</v>
      </c>
      <c r="I78" s="31">
        <v>16993.599999999999</v>
      </c>
      <c r="J78" s="30" t="s">
        <v>234</v>
      </c>
    </row>
    <row r="79" spans="1:10" x14ac:dyDescent="0.25">
      <c r="A79" s="32" t="s">
        <v>226</v>
      </c>
      <c r="B79" s="32" t="s">
        <v>217</v>
      </c>
      <c r="C79" s="32" t="s">
        <v>238</v>
      </c>
      <c r="D79" s="32">
        <v>959</v>
      </c>
      <c r="E79" s="33">
        <v>250</v>
      </c>
      <c r="F79" s="33">
        <v>300</v>
      </c>
      <c r="G79" s="33">
        <v>287700</v>
      </c>
      <c r="H79" s="33">
        <v>267561</v>
      </c>
      <c r="I79" s="33">
        <v>27811</v>
      </c>
      <c r="J79" s="32" t="s">
        <v>232</v>
      </c>
    </row>
    <row r="80" spans="1:10" x14ac:dyDescent="0.25">
      <c r="A80" s="30" t="s">
        <v>211</v>
      </c>
      <c r="B80" s="30" t="s">
        <v>217</v>
      </c>
      <c r="C80" s="30" t="s">
        <v>240</v>
      </c>
      <c r="D80" s="30">
        <v>2876</v>
      </c>
      <c r="E80" s="31">
        <v>260</v>
      </c>
      <c r="F80" s="31">
        <v>350</v>
      </c>
      <c r="G80" s="31">
        <v>1006600</v>
      </c>
      <c r="H80" s="31">
        <v>936138</v>
      </c>
      <c r="I80" s="31">
        <v>188378</v>
      </c>
      <c r="J80" s="30" t="s">
        <v>228</v>
      </c>
    </row>
    <row r="81" spans="1:10" x14ac:dyDescent="0.25">
      <c r="A81" s="32" t="s">
        <v>216</v>
      </c>
      <c r="B81" s="32" t="s">
        <v>217</v>
      </c>
      <c r="C81" s="32" t="s">
        <v>213</v>
      </c>
      <c r="D81" s="32">
        <v>490</v>
      </c>
      <c r="E81" s="33">
        <v>3</v>
      </c>
      <c r="F81" s="33">
        <v>15</v>
      </c>
      <c r="G81" s="33">
        <v>7350</v>
      </c>
      <c r="H81" s="33">
        <v>6762</v>
      </c>
      <c r="I81" s="33">
        <v>1862</v>
      </c>
      <c r="J81" s="32" t="s">
        <v>242</v>
      </c>
    </row>
    <row r="82" spans="1:10" x14ac:dyDescent="0.25">
      <c r="A82" s="30" t="s">
        <v>216</v>
      </c>
      <c r="B82" s="30" t="s">
        <v>217</v>
      </c>
      <c r="C82" s="30" t="s">
        <v>221</v>
      </c>
      <c r="D82" s="30">
        <v>2501</v>
      </c>
      <c r="E82" s="31">
        <v>5</v>
      </c>
      <c r="F82" s="31">
        <v>15</v>
      </c>
      <c r="G82" s="31">
        <v>37515</v>
      </c>
      <c r="H82" s="31">
        <v>34513.800000000003</v>
      </c>
      <c r="I82" s="31">
        <v>9503.8000000000029</v>
      </c>
      <c r="J82" s="30" t="s">
        <v>222</v>
      </c>
    </row>
    <row r="83" spans="1:10" x14ac:dyDescent="0.25">
      <c r="A83" s="32" t="s">
        <v>226</v>
      </c>
      <c r="B83" s="32" t="s">
        <v>217</v>
      </c>
      <c r="C83" s="32" t="s">
        <v>221</v>
      </c>
      <c r="D83" s="32">
        <v>1562</v>
      </c>
      <c r="E83" s="33">
        <v>5</v>
      </c>
      <c r="F83" s="33">
        <v>300</v>
      </c>
      <c r="G83" s="33">
        <v>468600</v>
      </c>
      <c r="H83" s="33">
        <v>431112</v>
      </c>
      <c r="I83" s="33">
        <v>40612</v>
      </c>
      <c r="J83" s="32" t="s">
        <v>227</v>
      </c>
    </row>
    <row r="84" spans="1:10" x14ac:dyDescent="0.25">
      <c r="A84" s="30" t="s">
        <v>226</v>
      </c>
      <c r="B84" s="30" t="s">
        <v>217</v>
      </c>
      <c r="C84" s="30" t="s">
        <v>237</v>
      </c>
      <c r="D84" s="30">
        <v>386</v>
      </c>
      <c r="E84" s="31">
        <v>120</v>
      </c>
      <c r="F84" s="31">
        <v>300</v>
      </c>
      <c r="G84" s="31">
        <v>115800</v>
      </c>
      <c r="H84" s="31">
        <v>106536</v>
      </c>
      <c r="I84" s="31">
        <v>10036</v>
      </c>
      <c r="J84" s="30" t="s">
        <v>235</v>
      </c>
    </row>
    <row r="85" spans="1:10" x14ac:dyDescent="0.25">
      <c r="A85" s="32" t="s">
        <v>211</v>
      </c>
      <c r="B85" s="32" t="s">
        <v>217</v>
      </c>
      <c r="C85" s="32" t="s">
        <v>238</v>
      </c>
      <c r="D85" s="32">
        <v>574.5</v>
      </c>
      <c r="E85" s="33">
        <v>250</v>
      </c>
      <c r="F85" s="33">
        <v>350</v>
      </c>
      <c r="G85" s="33">
        <v>201075</v>
      </c>
      <c r="H85" s="33">
        <v>184989</v>
      </c>
      <c r="I85" s="33">
        <v>35619</v>
      </c>
      <c r="J85" s="32" t="s">
        <v>239</v>
      </c>
    </row>
    <row r="86" spans="1:10" x14ac:dyDescent="0.25">
      <c r="A86" s="30" t="s">
        <v>211</v>
      </c>
      <c r="B86" s="30" t="s">
        <v>217</v>
      </c>
      <c r="C86" s="30" t="s">
        <v>238</v>
      </c>
      <c r="D86" s="30">
        <v>381</v>
      </c>
      <c r="E86" s="31">
        <v>250</v>
      </c>
      <c r="F86" s="31">
        <v>350</v>
      </c>
      <c r="G86" s="31">
        <v>133350</v>
      </c>
      <c r="H86" s="31">
        <v>122682</v>
      </c>
      <c r="I86" s="31">
        <v>23622</v>
      </c>
      <c r="J86" s="30" t="s">
        <v>227</v>
      </c>
    </row>
    <row r="87" spans="1:10" x14ac:dyDescent="0.25">
      <c r="A87" s="32" t="s">
        <v>211</v>
      </c>
      <c r="B87" s="32" t="s">
        <v>217</v>
      </c>
      <c r="C87" s="32" t="s">
        <v>221</v>
      </c>
      <c r="D87" s="32">
        <v>1666</v>
      </c>
      <c r="E87" s="33">
        <v>5</v>
      </c>
      <c r="F87" s="33">
        <v>350</v>
      </c>
      <c r="G87" s="33">
        <v>583100</v>
      </c>
      <c r="H87" s="33">
        <v>530621</v>
      </c>
      <c r="I87" s="33">
        <v>97461</v>
      </c>
      <c r="J87" s="32" t="s">
        <v>241</v>
      </c>
    </row>
    <row r="88" spans="1:10" x14ac:dyDescent="0.25">
      <c r="A88" s="30" t="s">
        <v>226</v>
      </c>
      <c r="B88" s="30" t="s">
        <v>217</v>
      </c>
      <c r="C88" s="30" t="s">
        <v>221</v>
      </c>
      <c r="D88" s="30">
        <v>322</v>
      </c>
      <c r="E88" s="31">
        <v>5</v>
      </c>
      <c r="F88" s="31">
        <v>300</v>
      </c>
      <c r="G88" s="31">
        <v>96600</v>
      </c>
      <c r="H88" s="31">
        <v>87906</v>
      </c>
      <c r="I88" s="31">
        <v>7406</v>
      </c>
      <c r="J88" s="30" t="s">
        <v>233</v>
      </c>
    </row>
    <row r="89" spans="1:10" x14ac:dyDescent="0.25">
      <c r="A89" s="32" t="s">
        <v>224</v>
      </c>
      <c r="B89" s="32" t="s">
        <v>217</v>
      </c>
      <c r="C89" s="32" t="s">
        <v>221</v>
      </c>
      <c r="D89" s="32">
        <v>1857</v>
      </c>
      <c r="E89" s="33">
        <v>5</v>
      </c>
      <c r="F89" s="33">
        <v>125</v>
      </c>
      <c r="G89" s="33">
        <v>232125</v>
      </c>
      <c r="H89" s="33">
        <v>211233.75</v>
      </c>
      <c r="I89" s="33">
        <v>-11606.25</v>
      </c>
      <c r="J89" s="32" t="s">
        <v>235</v>
      </c>
    </row>
    <row r="90" spans="1:10" x14ac:dyDescent="0.25">
      <c r="A90" s="30" t="s">
        <v>216</v>
      </c>
      <c r="B90" s="30" t="s">
        <v>217</v>
      </c>
      <c r="C90" s="30" t="s">
        <v>231</v>
      </c>
      <c r="D90" s="30">
        <v>1227</v>
      </c>
      <c r="E90" s="31">
        <v>10</v>
      </c>
      <c r="F90" s="31">
        <v>15</v>
      </c>
      <c r="G90" s="31">
        <v>18405</v>
      </c>
      <c r="H90" s="31">
        <v>16748.55</v>
      </c>
      <c r="I90" s="31">
        <v>4478.5499999999993</v>
      </c>
      <c r="J90" s="30" t="s">
        <v>234</v>
      </c>
    </row>
    <row r="91" spans="1:10" x14ac:dyDescent="0.25">
      <c r="A91" s="32" t="s">
        <v>226</v>
      </c>
      <c r="B91" s="32" t="s">
        <v>217</v>
      </c>
      <c r="C91" s="32" t="s">
        <v>231</v>
      </c>
      <c r="D91" s="32">
        <v>1324</v>
      </c>
      <c r="E91" s="33">
        <v>10</v>
      </c>
      <c r="F91" s="33">
        <v>300</v>
      </c>
      <c r="G91" s="33">
        <v>397200</v>
      </c>
      <c r="H91" s="33">
        <v>361452</v>
      </c>
      <c r="I91" s="33">
        <v>30452</v>
      </c>
      <c r="J91" s="32" t="s">
        <v>242</v>
      </c>
    </row>
    <row r="92" spans="1:10" x14ac:dyDescent="0.25">
      <c r="A92" s="30" t="s">
        <v>223</v>
      </c>
      <c r="B92" s="30" t="s">
        <v>217</v>
      </c>
      <c r="C92" s="30" t="s">
        <v>238</v>
      </c>
      <c r="D92" s="30">
        <v>2234</v>
      </c>
      <c r="E92" s="31">
        <v>250</v>
      </c>
      <c r="F92" s="31">
        <v>12</v>
      </c>
      <c r="G92" s="31">
        <v>26808</v>
      </c>
      <c r="H92" s="31">
        <v>24395.279999999999</v>
      </c>
      <c r="I92" s="31">
        <v>17693.28</v>
      </c>
      <c r="J92" s="30" t="s">
        <v>233</v>
      </c>
    </row>
    <row r="93" spans="1:10" x14ac:dyDescent="0.25">
      <c r="A93" s="32" t="s">
        <v>216</v>
      </c>
      <c r="B93" s="32" t="s">
        <v>217</v>
      </c>
      <c r="C93" s="32" t="s">
        <v>238</v>
      </c>
      <c r="D93" s="32">
        <v>1227</v>
      </c>
      <c r="E93" s="33">
        <v>250</v>
      </c>
      <c r="F93" s="33">
        <v>15</v>
      </c>
      <c r="G93" s="33">
        <v>18405</v>
      </c>
      <c r="H93" s="33">
        <v>16748.55</v>
      </c>
      <c r="I93" s="33">
        <v>4478.5499999999993</v>
      </c>
      <c r="J93" s="32" t="s">
        <v>234</v>
      </c>
    </row>
    <row r="94" spans="1:10" x14ac:dyDescent="0.25">
      <c r="A94" s="30" t="s">
        <v>223</v>
      </c>
      <c r="B94" s="30" t="s">
        <v>217</v>
      </c>
      <c r="C94" s="30" t="s">
        <v>237</v>
      </c>
      <c r="D94" s="30">
        <v>1967</v>
      </c>
      <c r="E94" s="31">
        <v>120</v>
      </c>
      <c r="F94" s="31">
        <v>12</v>
      </c>
      <c r="G94" s="31">
        <v>23604</v>
      </c>
      <c r="H94" s="31">
        <v>21479.64</v>
      </c>
      <c r="I94" s="31">
        <v>15578.64</v>
      </c>
      <c r="J94" s="30" t="s">
        <v>222</v>
      </c>
    </row>
    <row r="95" spans="1:10" x14ac:dyDescent="0.25">
      <c r="A95" s="32" t="s">
        <v>211</v>
      </c>
      <c r="B95" s="32" t="s">
        <v>217</v>
      </c>
      <c r="C95" s="32" t="s">
        <v>238</v>
      </c>
      <c r="D95" s="32">
        <v>2682</v>
      </c>
      <c r="E95" s="33">
        <v>250</v>
      </c>
      <c r="F95" s="33">
        <v>20</v>
      </c>
      <c r="G95" s="33">
        <v>53640</v>
      </c>
      <c r="H95" s="33">
        <v>48812.4</v>
      </c>
      <c r="I95" s="33">
        <v>21992.400000000001</v>
      </c>
      <c r="J95" s="32" t="s">
        <v>235</v>
      </c>
    </row>
    <row r="96" spans="1:10" x14ac:dyDescent="0.25">
      <c r="A96" s="30" t="s">
        <v>223</v>
      </c>
      <c r="B96" s="30" t="s">
        <v>217</v>
      </c>
      <c r="C96" s="30" t="s">
        <v>240</v>
      </c>
      <c r="D96" s="30">
        <v>306</v>
      </c>
      <c r="E96" s="31">
        <v>260</v>
      </c>
      <c r="F96" s="31">
        <v>12</v>
      </c>
      <c r="G96" s="31">
        <v>3672</v>
      </c>
      <c r="H96" s="31">
        <v>3341.52</v>
      </c>
      <c r="I96" s="31">
        <v>2423.52</v>
      </c>
      <c r="J96" s="30" t="s">
        <v>236</v>
      </c>
    </row>
    <row r="97" spans="1:10" x14ac:dyDescent="0.25">
      <c r="A97" s="32" t="s">
        <v>224</v>
      </c>
      <c r="B97" s="32" t="s">
        <v>217</v>
      </c>
      <c r="C97" s="32" t="s">
        <v>213</v>
      </c>
      <c r="D97" s="32">
        <v>1482</v>
      </c>
      <c r="E97" s="33">
        <v>3</v>
      </c>
      <c r="F97" s="33">
        <v>125</v>
      </c>
      <c r="G97" s="33">
        <v>185250</v>
      </c>
      <c r="H97" s="33">
        <v>166725</v>
      </c>
      <c r="I97" s="33">
        <v>-11115</v>
      </c>
      <c r="J97" s="32" t="s">
        <v>236</v>
      </c>
    </row>
    <row r="98" spans="1:10" x14ac:dyDescent="0.25">
      <c r="A98" s="30" t="s">
        <v>216</v>
      </c>
      <c r="B98" s="30" t="s">
        <v>217</v>
      </c>
      <c r="C98" s="30" t="s">
        <v>221</v>
      </c>
      <c r="D98" s="30">
        <v>2072</v>
      </c>
      <c r="E98" s="31">
        <v>5</v>
      </c>
      <c r="F98" s="31">
        <v>15</v>
      </c>
      <c r="G98" s="31">
        <v>31080</v>
      </c>
      <c r="H98" s="31">
        <v>27972</v>
      </c>
      <c r="I98" s="31">
        <v>7252</v>
      </c>
      <c r="J98" s="30" t="s">
        <v>220</v>
      </c>
    </row>
    <row r="99" spans="1:10" x14ac:dyDescent="0.25">
      <c r="A99" s="32" t="s">
        <v>211</v>
      </c>
      <c r="B99" s="32" t="s">
        <v>217</v>
      </c>
      <c r="C99" s="32" t="s">
        <v>231</v>
      </c>
      <c r="D99" s="32">
        <v>1954</v>
      </c>
      <c r="E99" s="33">
        <v>10</v>
      </c>
      <c r="F99" s="33">
        <v>20</v>
      </c>
      <c r="G99" s="33">
        <v>39080</v>
      </c>
      <c r="H99" s="33">
        <v>35172</v>
      </c>
      <c r="I99" s="33">
        <v>15632</v>
      </c>
      <c r="J99" s="32" t="s">
        <v>222</v>
      </c>
    </row>
    <row r="100" spans="1:10" x14ac:dyDescent="0.25">
      <c r="A100" s="30" t="s">
        <v>216</v>
      </c>
      <c r="B100" s="30" t="s">
        <v>217</v>
      </c>
      <c r="C100" s="30" t="s">
        <v>231</v>
      </c>
      <c r="D100" s="30">
        <v>2167</v>
      </c>
      <c r="E100" s="31">
        <v>10</v>
      </c>
      <c r="F100" s="31">
        <v>15</v>
      </c>
      <c r="G100" s="31">
        <v>32505</v>
      </c>
      <c r="H100" s="31">
        <v>29254.5</v>
      </c>
      <c r="I100" s="31">
        <v>7584.5</v>
      </c>
      <c r="J100" s="30" t="s">
        <v>229</v>
      </c>
    </row>
    <row r="101" spans="1:10" x14ac:dyDescent="0.25">
      <c r="A101" s="32" t="s">
        <v>211</v>
      </c>
      <c r="B101" s="32" t="s">
        <v>217</v>
      </c>
      <c r="C101" s="32" t="s">
        <v>237</v>
      </c>
      <c r="D101" s="32">
        <v>639</v>
      </c>
      <c r="E101" s="33">
        <v>120</v>
      </c>
      <c r="F101" s="33">
        <v>350</v>
      </c>
      <c r="G101" s="33">
        <v>223650</v>
      </c>
      <c r="H101" s="33">
        <v>201285</v>
      </c>
      <c r="I101" s="33">
        <v>35145</v>
      </c>
      <c r="J101" s="32" t="s">
        <v>225</v>
      </c>
    </row>
    <row r="102" spans="1:10" x14ac:dyDescent="0.25">
      <c r="A102" s="30" t="s">
        <v>226</v>
      </c>
      <c r="B102" s="30" t="s">
        <v>217</v>
      </c>
      <c r="C102" s="30" t="s">
        <v>237</v>
      </c>
      <c r="D102" s="30">
        <v>853</v>
      </c>
      <c r="E102" s="31">
        <v>120</v>
      </c>
      <c r="F102" s="31">
        <v>300</v>
      </c>
      <c r="G102" s="31">
        <v>255900</v>
      </c>
      <c r="H102" s="31">
        <v>230310</v>
      </c>
      <c r="I102" s="31">
        <v>17060</v>
      </c>
      <c r="J102" s="30" t="s">
        <v>220</v>
      </c>
    </row>
    <row r="103" spans="1:10" x14ac:dyDescent="0.25">
      <c r="A103" s="32" t="s">
        <v>216</v>
      </c>
      <c r="B103" s="32" t="s">
        <v>217</v>
      </c>
      <c r="C103" s="32" t="s">
        <v>238</v>
      </c>
      <c r="D103" s="32">
        <v>2167</v>
      </c>
      <c r="E103" s="33">
        <v>250</v>
      </c>
      <c r="F103" s="33">
        <v>15</v>
      </c>
      <c r="G103" s="33">
        <v>32505</v>
      </c>
      <c r="H103" s="33">
        <v>29254.5</v>
      </c>
      <c r="I103" s="33">
        <v>7584.5</v>
      </c>
      <c r="J103" s="32" t="s">
        <v>229</v>
      </c>
    </row>
    <row r="104" spans="1:10" x14ac:dyDescent="0.25">
      <c r="A104" s="30" t="s">
        <v>216</v>
      </c>
      <c r="B104" s="30" t="s">
        <v>217</v>
      </c>
      <c r="C104" s="30" t="s">
        <v>240</v>
      </c>
      <c r="D104" s="30">
        <v>2072</v>
      </c>
      <c r="E104" s="31">
        <v>260</v>
      </c>
      <c r="F104" s="31">
        <v>15</v>
      </c>
      <c r="G104" s="31">
        <v>31080</v>
      </c>
      <c r="H104" s="31">
        <v>27972</v>
      </c>
      <c r="I104" s="31">
        <v>7252</v>
      </c>
      <c r="J104" s="30" t="s">
        <v>220</v>
      </c>
    </row>
    <row r="105" spans="1:10" x14ac:dyDescent="0.25">
      <c r="A105" s="32" t="s">
        <v>226</v>
      </c>
      <c r="B105" s="32" t="s">
        <v>217</v>
      </c>
      <c r="C105" s="32" t="s">
        <v>240</v>
      </c>
      <c r="D105" s="32">
        <v>853</v>
      </c>
      <c r="E105" s="33">
        <v>260</v>
      </c>
      <c r="F105" s="33">
        <v>300</v>
      </c>
      <c r="G105" s="33">
        <v>255900</v>
      </c>
      <c r="H105" s="33">
        <v>230310</v>
      </c>
      <c r="I105" s="33">
        <v>17060</v>
      </c>
      <c r="J105" s="32" t="s">
        <v>220</v>
      </c>
    </row>
    <row r="106" spans="1:10" x14ac:dyDescent="0.25">
      <c r="A106" s="30" t="s">
        <v>223</v>
      </c>
      <c r="B106" s="30" t="s">
        <v>217</v>
      </c>
      <c r="C106" s="30" t="s">
        <v>213</v>
      </c>
      <c r="D106" s="30">
        <v>1198</v>
      </c>
      <c r="E106" s="31">
        <v>3</v>
      </c>
      <c r="F106" s="31">
        <v>12</v>
      </c>
      <c r="G106" s="31">
        <v>14376</v>
      </c>
      <c r="H106" s="31">
        <v>12794.64</v>
      </c>
      <c r="I106" s="31">
        <v>9200.64</v>
      </c>
      <c r="J106" s="30" t="s">
        <v>229</v>
      </c>
    </row>
    <row r="107" spans="1:10" x14ac:dyDescent="0.25">
      <c r="A107" s="32" t="s">
        <v>211</v>
      </c>
      <c r="B107" s="32" t="s">
        <v>217</v>
      </c>
      <c r="C107" s="32" t="s">
        <v>231</v>
      </c>
      <c r="D107" s="32">
        <v>2532</v>
      </c>
      <c r="E107" s="33">
        <v>10</v>
      </c>
      <c r="F107" s="33">
        <v>7</v>
      </c>
      <c r="G107" s="33">
        <v>17724</v>
      </c>
      <c r="H107" s="33">
        <v>15774.36</v>
      </c>
      <c r="I107" s="33">
        <v>3114.3599999999997</v>
      </c>
      <c r="J107" s="32" t="s">
        <v>239</v>
      </c>
    </row>
    <row r="108" spans="1:10" x14ac:dyDescent="0.25">
      <c r="A108" s="30" t="s">
        <v>223</v>
      </c>
      <c r="B108" s="30" t="s">
        <v>217</v>
      </c>
      <c r="C108" s="30" t="s">
        <v>231</v>
      </c>
      <c r="D108" s="30">
        <v>1198</v>
      </c>
      <c r="E108" s="31">
        <v>10</v>
      </c>
      <c r="F108" s="31">
        <v>12</v>
      </c>
      <c r="G108" s="31">
        <v>14376</v>
      </c>
      <c r="H108" s="31">
        <v>12794.64</v>
      </c>
      <c r="I108" s="31">
        <v>9200.64</v>
      </c>
      <c r="J108" s="30" t="s">
        <v>229</v>
      </c>
    </row>
    <row r="109" spans="1:10" x14ac:dyDescent="0.25">
      <c r="A109" s="32" t="s">
        <v>224</v>
      </c>
      <c r="B109" s="32" t="s">
        <v>217</v>
      </c>
      <c r="C109" s="32" t="s">
        <v>213</v>
      </c>
      <c r="D109" s="32">
        <v>2441</v>
      </c>
      <c r="E109" s="33">
        <v>3</v>
      </c>
      <c r="F109" s="33">
        <v>125</v>
      </c>
      <c r="G109" s="33">
        <v>305125</v>
      </c>
      <c r="H109" s="33">
        <v>271561.25</v>
      </c>
      <c r="I109" s="33">
        <v>-21358.75</v>
      </c>
      <c r="J109" s="32" t="s">
        <v>234</v>
      </c>
    </row>
    <row r="110" spans="1:10" x14ac:dyDescent="0.25">
      <c r="A110" s="30" t="s">
        <v>223</v>
      </c>
      <c r="B110" s="30" t="s">
        <v>217</v>
      </c>
      <c r="C110" s="30" t="s">
        <v>231</v>
      </c>
      <c r="D110" s="30">
        <v>2425.5</v>
      </c>
      <c r="E110" s="31">
        <v>10</v>
      </c>
      <c r="F110" s="31">
        <v>12</v>
      </c>
      <c r="G110" s="31">
        <v>29106</v>
      </c>
      <c r="H110" s="31">
        <v>25904.340000000004</v>
      </c>
      <c r="I110" s="31">
        <v>18627.840000000004</v>
      </c>
      <c r="J110" s="30" t="s">
        <v>225</v>
      </c>
    </row>
    <row r="111" spans="1:10" x14ac:dyDescent="0.25">
      <c r="A111" s="32" t="s">
        <v>224</v>
      </c>
      <c r="B111" s="32" t="s">
        <v>217</v>
      </c>
      <c r="C111" s="32" t="s">
        <v>231</v>
      </c>
      <c r="D111" s="32">
        <v>2441</v>
      </c>
      <c r="E111" s="33">
        <v>10</v>
      </c>
      <c r="F111" s="33">
        <v>125</v>
      </c>
      <c r="G111" s="33">
        <v>305125</v>
      </c>
      <c r="H111" s="33">
        <v>271561.25</v>
      </c>
      <c r="I111" s="33">
        <v>-21358.75</v>
      </c>
      <c r="J111" s="32" t="s">
        <v>234</v>
      </c>
    </row>
    <row r="112" spans="1:10" x14ac:dyDescent="0.25">
      <c r="A112" s="30" t="s">
        <v>211</v>
      </c>
      <c r="B112" s="30" t="s">
        <v>217</v>
      </c>
      <c r="C112" s="30" t="s">
        <v>237</v>
      </c>
      <c r="D112" s="30">
        <v>2805</v>
      </c>
      <c r="E112" s="31">
        <v>120</v>
      </c>
      <c r="F112" s="31">
        <v>20</v>
      </c>
      <c r="G112" s="31">
        <v>56100</v>
      </c>
      <c r="H112" s="31">
        <v>49929</v>
      </c>
      <c r="I112" s="31">
        <v>21879</v>
      </c>
      <c r="J112" s="30" t="s">
        <v>233</v>
      </c>
    </row>
    <row r="113" spans="1:10" x14ac:dyDescent="0.25">
      <c r="A113" s="32" t="s">
        <v>223</v>
      </c>
      <c r="B113" s="32" t="s">
        <v>217</v>
      </c>
      <c r="C113" s="32" t="s">
        <v>238</v>
      </c>
      <c r="D113" s="32">
        <v>1734</v>
      </c>
      <c r="E113" s="33">
        <v>250</v>
      </c>
      <c r="F113" s="33">
        <v>12</v>
      </c>
      <c r="G113" s="33">
        <v>20808</v>
      </c>
      <c r="H113" s="33">
        <v>18519.12</v>
      </c>
      <c r="I113" s="33">
        <v>13317.119999999999</v>
      </c>
      <c r="J113" s="32" t="s">
        <v>214</v>
      </c>
    </row>
    <row r="114" spans="1:10" x14ac:dyDescent="0.25">
      <c r="A114" s="30" t="s">
        <v>224</v>
      </c>
      <c r="B114" s="30" t="s">
        <v>217</v>
      </c>
      <c r="C114" s="30" t="s">
        <v>240</v>
      </c>
      <c r="D114" s="30">
        <v>1433</v>
      </c>
      <c r="E114" s="31">
        <v>260</v>
      </c>
      <c r="F114" s="31">
        <v>125</v>
      </c>
      <c r="G114" s="31">
        <v>179125</v>
      </c>
      <c r="H114" s="31">
        <v>159421.25</v>
      </c>
      <c r="I114" s="31">
        <v>-12538.75</v>
      </c>
      <c r="J114" s="30" t="s">
        <v>241</v>
      </c>
    </row>
    <row r="115" spans="1:10" x14ac:dyDescent="0.25">
      <c r="A115" s="32" t="s">
        <v>226</v>
      </c>
      <c r="B115" s="32" t="s">
        <v>217</v>
      </c>
      <c r="C115" s="32" t="s">
        <v>221</v>
      </c>
      <c r="D115" s="32">
        <v>1773</v>
      </c>
      <c r="E115" s="33">
        <v>5</v>
      </c>
      <c r="F115" s="33">
        <v>300</v>
      </c>
      <c r="G115" s="33">
        <v>531900</v>
      </c>
      <c r="H115" s="33">
        <v>468072</v>
      </c>
      <c r="I115" s="33">
        <v>24822</v>
      </c>
      <c r="J115" s="32" t="s">
        <v>239</v>
      </c>
    </row>
    <row r="116" spans="1:10" x14ac:dyDescent="0.25">
      <c r="A116" s="30" t="s">
        <v>226</v>
      </c>
      <c r="B116" s="30" t="s">
        <v>217</v>
      </c>
      <c r="C116" s="30" t="s">
        <v>221</v>
      </c>
      <c r="D116" s="30">
        <v>1186</v>
      </c>
      <c r="E116" s="31">
        <v>5</v>
      </c>
      <c r="F116" s="31">
        <v>300</v>
      </c>
      <c r="G116" s="31">
        <v>355800</v>
      </c>
      <c r="H116" s="31">
        <v>313104</v>
      </c>
      <c r="I116" s="31">
        <v>16604</v>
      </c>
      <c r="J116" s="30" t="s">
        <v>236</v>
      </c>
    </row>
    <row r="117" spans="1:10" x14ac:dyDescent="0.25">
      <c r="A117" s="32" t="s">
        <v>211</v>
      </c>
      <c r="B117" s="32" t="s">
        <v>217</v>
      </c>
      <c r="C117" s="32" t="s">
        <v>231</v>
      </c>
      <c r="D117" s="32">
        <v>1594</v>
      </c>
      <c r="E117" s="33">
        <v>10</v>
      </c>
      <c r="F117" s="33">
        <v>350</v>
      </c>
      <c r="G117" s="33">
        <v>557900</v>
      </c>
      <c r="H117" s="33">
        <v>490952</v>
      </c>
      <c r="I117" s="33">
        <v>76512</v>
      </c>
      <c r="J117" s="32" t="s">
        <v>242</v>
      </c>
    </row>
    <row r="118" spans="1:10" x14ac:dyDescent="0.25">
      <c r="A118" s="30" t="s">
        <v>216</v>
      </c>
      <c r="B118" s="30" t="s">
        <v>217</v>
      </c>
      <c r="C118" s="30" t="s">
        <v>238</v>
      </c>
      <c r="D118" s="30">
        <v>3874.5</v>
      </c>
      <c r="E118" s="31">
        <v>250</v>
      </c>
      <c r="F118" s="31">
        <v>15</v>
      </c>
      <c r="G118" s="31">
        <v>58117.5</v>
      </c>
      <c r="H118" s="31">
        <v>51143.399999999994</v>
      </c>
      <c r="I118" s="31">
        <v>12398.399999999998</v>
      </c>
      <c r="J118" s="30" t="s">
        <v>225</v>
      </c>
    </row>
    <row r="119" spans="1:10" x14ac:dyDescent="0.25">
      <c r="A119" s="32" t="s">
        <v>211</v>
      </c>
      <c r="B119" s="32" t="s">
        <v>217</v>
      </c>
      <c r="C119" s="32" t="s">
        <v>240</v>
      </c>
      <c r="D119" s="32">
        <v>3421.5</v>
      </c>
      <c r="E119" s="33">
        <v>260</v>
      </c>
      <c r="F119" s="33">
        <v>7</v>
      </c>
      <c r="G119" s="33">
        <v>23950.5</v>
      </c>
      <c r="H119" s="33">
        <v>21076.44</v>
      </c>
      <c r="I119" s="33">
        <v>3968.9399999999987</v>
      </c>
      <c r="J119" s="32" t="s">
        <v>225</v>
      </c>
    </row>
    <row r="120" spans="1:10" x14ac:dyDescent="0.25">
      <c r="A120" s="30" t="s">
        <v>211</v>
      </c>
      <c r="B120" s="30" t="s">
        <v>217</v>
      </c>
      <c r="C120" s="30" t="s">
        <v>213</v>
      </c>
      <c r="D120" s="30">
        <v>2521.5</v>
      </c>
      <c r="E120" s="31">
        <v>3</v>
      </c>
      <c r="F120" s="31">
        <v>20</v>
      </c>
      <c r="G120" s="31">
        <v>50430</v>
      </c>
      <c r="H120" s="31">
        <v>44378.399999999994</v>
      </c>
      <c r="I120" s="31">
        <v>19163.399999999998</v>
      </c>
      <c r="J120" s="30" t="s">
        <v>214</v>
      </c>
    </row>
    <row r="121" spans="1:10" x14ac:dyDescent="0.25">
      <c r="A121" s="32" t="s">
        <v>211</v>
      </c>
      <c r="B121" s="32" t="s">
        <v>217</v>
      </c>
      <c r="C121" s="32" t="s">
        <v>238</v>
      </c>
      <c r="D121" s="32">
        <v>1491</v>
      </c>
      <c r="E121" s="33">
        <v>250</v>
      </c>
      <c r="F121" s="33">
        <v>7</v>
      </c>
      <c r="G121" s="33">
        <v>10437</v>
      </c>
      <c r="H121" s="33">
        <v>9184.56</v>
      </c>
      <c r="I121" s="33">
        <v>1729.5599999999995</v>
      </c>
      <c r="J121" s="32" t="s">
        <v>222</v>
      </c>
    </row>
    <row r="122" spans="1:10" x14ac:dyDescent="0.25">
      <c r="A122" s="30" t="s">
        <v>211</v>
      </c>
      <c r="B122" s="30" t="s">
        <v>217</v>
      </c>
      <c r="C122" s="30" t="s">
        <v>213</v>
      </c>
      <c r="D122" s="30">
        <v>1790</v>
      </c>
      <c r="E122" s="31">
        <v>3</v>
      </c>
      <c r="F122" s="31">
        <v>350</v>
      </c>
      <c r="G122" s="31">
        <v>626500</v>
      </c>
      <c r="H122" s="31">
        <v>545055</v>
      </c>
      <c r="I122" s="31">
        <v>79655</v>
      </c>
      <c r="J122" s="30" t="s">
        <v>222</v>
      </c>
    </row>
    <row r="123" spans="1:10" x14ac:dyDescent="0.25">
      <c r="A123" s="32" t="s">
        <v>211</v>
      </c>
      <c r="B123" s="32" t="s">
        <v>217</v>
      </c>
      <c r="C123" s="32" t="s">
        <v>231</v>
      </c>
      <c r="D123" s="32">
        <v>2696</v>
      </c>
      <c r="E123" s="33">
        <v>10</v>
      </c>
      <c r="F123" s="33">
        <v>7</v>
      </c>
      <c r="G123" s="33">
        <v>18872</v>
      </c>
      <c r="H123" s="33">
        <v>16418.64</v>
      </c>
      <c r="I123" s="33">
        <v>2938.6399999999994</v>
      </c>
      <c r="J123" s="32" t="s">
        <v>227</v>
      </c>
    </row>
    <row r="124" spans="1:10" x14ac:dyDescent="0.25">
      <c r="A124" s="30" t="s">
        <v>216</v>
      </c>
      <c r="B124" s="30" t="s">
        <v>217</v>
      </c>
      <c r="C124" s="30" t="s">
        <v>237</v>
      </c>
      <c r="D124" s="30">
        <v>3997.5</v>
      </c>
      <c r="E124" s="31">
        <v>120</v>
      </c>
      <c r="F124" s="31">
        <v>15</v>
      </c>
      <c r="G124" s="31">
        <v>59962.5</v>
      </c>
      <c r="H124" s="31">
        <v>52167.375</v>
      </c>
      <c r="I124" s="31">
        <v>12192.375</v>
      </c>
      <c r="J124" s="30" t="s">
        <v>214</v>
      </c>
    </row>
    <row r="125" spans="1:10" x14ac:dyDescent="0.25">
      <c r="A125" s="32" t="s">
        <v>211</v>
      </c>
      <c r="B125" s="32" t="s">
        <v>217</v>
      </c>
      <c r="C125" s="32" t="s">
        <v>237</v>
      </c>
      <c r="D125" s="32">
        <v>1190</v>
      </c>
      <c r="E125" s="33">
        <v>120</v>
      </c>
      <c r="F125" s="33">
        <v>7</v>
      </c>
      <c r="G125" s="33">
        <v>8330</v>
      </c>
      <c r="H125" s="33">
        <v>7247.1</v>
      </c>
      <c r="I125" s="33">
        <v>1297.1000000000004</v>
      </c>
      <c r="J125" s="32" t="s">
        <v>218</v>
      </c>
    </row>
    <row r="126" spans="1:10" x14ac:dyDescent="0.25">
      <c r="A126" s="30" t="s">
        <v>211</v>
      </c>
      <c r="B126" s="30" t="s">
        <v>217</v>
      </c>
      <c r="C126" s="30" t="s">
        <v>240</v>
      </c>
      <c r="D126" s="30">
        <v>1190</v>
      </c>
      <c r="E126" s="31">
        <v>260</v>
      </c>
      <c r="F126" s="31">
        <v>7</v>
      </c>
      <c r="G126" s="31">
        <v>8330</v>
      </c>
      <c r="H126" s="31">
        <v>7247.1</v>
      </c>
      <c r="I126" s="31">
        <v>1297.1000000000004</v>
      </c>
      <c r="J126" s="30" t="s">
        <v>218</v>
      </c>
    </row>
    <row r="127" spans="1:10" x14ac:dyDescent="0.25">
      <c r="A127" s="32" t="s">
        <v>211</v>
      </c>
      <c r="B127" s="32" t="s">
        <v>217</v>
      </c>
      <c r="C127" s="32" t="s">
        <v>221</v>
      </c>
      <c r="D127" s="32">
        <v>293</v>
      </c>
      <c r="E127" s="33">
        <v>5</v>
      </c>
      <c r="F127" s="33">
        <v>7</v>
      </c>
      <c r="G127" s="33">
        <v>2051</v>
      </c>
      <c r="H127" s="33">
        <v>1763.8600000000001</v>
      </c>
      <c r="I127" s="33">
        <v>298.86000000000013</v>
      </c>
      <c r="J127" s="32" t="s">
        <v>232</v>
      </c>
    </row>
    <row r="128" spans="1:10" x14ac:dyDescent="0.25">
      <c r="A128" s="30" t="s">
        <v>223</v>
      </c>
      <c r="B128" s="30" t="s">
        <v>217</v>
      </c>
      <c r="C128" s="30" t="s">
        <v>231</v>
      </c>
      <c r="D128" s="30">
        <v>1393</v>
      </c>
      <c r="E128" s="31">
        <v>10</v>
      </c>
      <c r="F128" s="31">
        <v>12</v>
      </c>
      <c r="G128" s="31">
        <v>16716</v>
      </c>
      <c r="H128" s="31">
        <v>14375.76</v>
      </c>
      <c r="I128" s="31">
        <v>10196.76</v>
      </c>
      <c r="J128" s="30" t="s">
        <v>234</v>
      </c>
    </row>
    <row r="129" spans="1:10" x14ac:dyDescent="0.25">
      <c r="A129" s="32" t="s">
        <v>223</v>
      </c>
      <c r="B129" s="32" t="s">
        <v>217</v>
      </c>
      <c r="C129" s="32" t="s">
        <v>240</v>
      </c>
      <c r="D129" s="32">
        <v>1393</v>
      </c>
      <c r="E129" s="33">
        <v>260</v>
      </c>
      <c r="F129" s="33">
        <v>12</v>
      </c>
      <c r="G129" s="33">
        <v>16716</v>
      </c>
      <c r="H129" s="33">
        <v>14375.76</v>
      </c>
      <c r="I129" s="33">
        <v>10196.76</v>
      </c>
      <c r="J129" s="32" t="s">
        <v>234</v>
      </c>
    </row>
    <row r="130" spans="1:10" x14ac:dyDescent="0.25">
      <c r="A130" s="30" t="s">
        <v>224</v>
      </c>
      <c r="B130" s="30" t="s">
        <v>217</v>
      </c>
      <c r="C130" s="30" t="s">
        <v>213</v>
      </c>
      <c r="D130" s="30">
        <v>1023</v>
      </c>
      <c r="E130" s="31">
        <v>3</v>
      </c>
      <c r="F130" s="31">
        <v>125</v>
      </c>
      <c r="G130" s="31">
        <v>127875</v>
      </c>
      <c r="H130" s="31">
        <v>109972.5</v>
      </c>
      <c r="I130" s="31">
        <v>-12787.5</v>
      </c>
      <c r="J130" s="30" t="s">
        <v>233</v>
      </c>
    </row>
    <row r="131" spans="1:10" x14ac:dyDescent="0.25">
      <c r="A131" s="32" t="s">
        <v>211</v>
      </c>
      <c r="B131" s="32" t="s">
        <v>217</v>
      </c>
      <c r="C131" s="32" t="s">
        <v>231</v>
      </c>
      <c r="D131" s="32">
        <v>1731</v>
      </c>
      <c r="E131" s="33">
        <v>10</v>
      </c>
      <c r="F131" s="33">
        <v>7</v>
      </c>
      <c r="G131" s="33">
        <v>12117</v>
      </c>
      <c r="H131" s="33">
        <v>10420.619999999999</v>
      </c>
      <c r="I131" s="33">
        <v>1765.619999999999</v>
      </c>
      <c r="J131" s="32" t="s">
        <v>234</v>
      </c>
    </row>
    <row r="132" spans="1:10" x14ac:dyDescent="0.25">
      <c r="A132" s="30" t="s">
        <v>211</v>
      </c>
      <c r="B132" s="30" t="s">
        <v>217</v>
      </c>
      <c r="C132" s="30" t="s">
        <v>231</v>
      </c>
      <c r="D132" s="30">
        <v>1922</v>
      </c>
      <c r="E132" s="31">
        <v>10</v>
      </c>
      <c r="F132" s="31">
        <v>350</v>
      </c>
      <c r="G132" s="31">
        <v>672700</v>
      </c>
      <c r="H132" s="31">
        <v>578522</v>
      </c>
      <c r="I132" s="31">
        <v>78802</v>
      </c>
      <c r="J132" s="30" t="s">
        <v>235</v>
      </c>
    </row>
    <row r="133" spans="1:10" x14ac:dyDescent="0.25">
      <c r="A133" s="32" t="s">
        <v>211</v>
      </c>
      <c r="B133" s="32" t="s">
        <v>217</v>
      </c>
      <c r="C133" s="32" t="s">
        <v>238</v>
      </c>
      <c r="D133" s="32">
        <v>1281</v>
      </c>
      <c r="E133" s="33">
        <v>250</v>
      </c>
      <c r="F133" s="33">
        <v>350</v>
      </c>
      <c r="G133" s="33">
        <v>448350</v>
      </c>
      <c r="H133" s="33">
        <v>385581</v>
      </c>
      <c r="I133" s="33">
        <v>52521</v>
      </c>
      <c r="J133" s="32" t="s">
        <v>236</v>
      </c>
    </row>
    <row r="134" spans="1:10" x14ac:dyDescent="0.25">
      <c r="A134" s="30" t="s">
        <v>223</v>
      </c>
      <c r="B134" s="30" t="s">
        <v>217</v>
      </c>
      <c r="C134" s="30" t="s">
        <v>240</v>
      </c>
      <c r="D134" s="30">
        <v>2475</v>
      </c>
      <c r="E134" s="31">
        <v>260</v>
      </c>
      <c r="F134" s="31">
        <v>12</v>
      </c>
      <c r="G134" s="31">
        <v>29700</v>
      </c>
      <c r="H134" s="31">
        <v>25542</v>
      </c>
      <c r="I134" s="31">
        <v>18117</v>
      </c>
      <c r="J134" s="30" t="s">
        <v>227</v>
      </c>
    </row>
    <row r="135" spans="1:10" x14ac:dyDescent="0.25">
      <c r="A135" s="32" t="s">
        <v>211</v>
      </c>
      <c r="B135" s="32" t="s">
        <v>217</v>
      </c>
      <c r="C135" s="32" t="s">
        <v>240</v>
      </c>
      <c r="D135" s="32">
        <v>1731</v>
      </c>
      <c r="E135" s="33">
        <v>260</v>
      </c>
      <c r="F135" s="33">
        <v>7</v>
      </c>
      <c r="G135" s="33">
        <v>12117</v>
      </c>
      <c r="H135" s="33">
        <v>10420.619999999999</v>
      </c>
      <c r="I135" s="33">
        <v>1765.619999999999</v>
      </c>
      <c r="J135" s="32" t="s">
        <v>234</v>
      </c>
    </row>
    <row r="136" spans="1:10" x14ac:dyDescent="0.25">
      <c r="A136" s="30" t="s">
        <v>224</v>
      </c>
      <c r="B136" s="30" t="s">
        <v>217</v>
      </c>
      <c r="C136" s="30" t="s">
        <v>213</v>
      </c>
      <c r="D136" s="30">
        <v>1174</v>
      </c>
      <c r="E136" s="31">
        <v>3</v>
      </c>
      <c r="F136" s="31">
        <v>125</v>
      </c>
      <c r="G136" s="31">
        <v>146750</v>
      </c>
      <c r="H136" s="31">
        <v>124737.5</v>
      </c>
      <c r="I136" s="31">
        <v>-16142.5</v>
      </c>
      <c r="J136" s="30" t="s">
        <v>227</v>
      </c>
    </row>
    <row r="137" spans="1:10" x14ac:dyDescent="0.25">
      <c r="A137" s="32" t="s">
        <v>211</v>
      </c>
      <c r="B137" s="32" t="s">
        <v>217</v>
      </c>
      <c r="C137" s="32" t="s">
        <v>231</v>
      </c>
      <c r="D137" s="32">
        <v>293</v>
      </c>
      <c r="E137" s="33">
        <v>10</v>
      </c>
      <c r="F137" s="33">
        <v>20</v>
      </c>
      <c r="G137" s="33">
        <v>5860</v>
      </c>
      <c r="H137" s="33">
        <v>4981</v>
      </c>
      <c r="I137" s="33">
        <v>2051</v>
      </c>
      <c r="J137" s="32" t="s">
        <v>220</v>
      </c>
    </row>
    <row r="138" spans="1:10" x14ac:dyDescent="0.25">
      <c r="A138" s="30" t="s">
        <v>216</v>
      </c>
      <c r="B138" s="30" t="s">
        <v>217</v>
      </c>
      <c r="C138" s="30" t="s">
        <v>237</v>
      </c>
      <c r="D138" s="30">
        <v>2826</v>
      </c>
      <c r="E138" s="31">
        <v>120</v>
      </c>
      <c r="F138" s="31">
        <v>15</v>
      </c>
      <c r="G138" s="31">
        <v>42390</v>
      </c>
      <c r="H138" s="31">
        <v>36031.5</v>
      </c>
      <c r="I138" s="31">
        <v>7771.5</v>
      </c>
      <c r="J138" s="30" t="s">
        <v>241</v>
      </c>
    </row>
    <row r="139" spans="1:10" x14ac:dyDescent="0.25">
      <c r="A139" s="32" t="s">
        <v>224</v>
      </c>
      <c r="B139" s="32" t="s">
        <v>217</v>
      </c>
      <c r="C139" s="32" t="s">
        <v>237</v>
      </c>
      <c r="D139" s="32">
        <v>663</v>
      </c>
      <c r="E139" s="33">
        <v>120</v>
      </c>
      <c r="F139" s="33">
        <v>125</v>
      </c>
      <c r="G139" s="33">
        <v>82875</v>
      </c>
      <c r="H139" s="33">
        <v>70443.75</v>
      </c>
      <c r="I139" s="33">
        <v>-9116.25</v>
      </c>
      <c r="J139" s="32" t="s">
        <v>228</v>
      </c>
    </row>
    <row r="140" spans="1:10" x14ac:dyDescent="0.25">
      <c r="A140" s="30" t="s">
        <v>211</v>
      </c>
      <c r="B140" s="30" t="s">
        <v>217</v>
      </c>
      <c r="C140" s="30" t="s">
        <v>238</v>
      </c>
      <c r="D140" s="30">
        <v>293</v>
      </c>
      <c r="E140" s="31">
        <v>250</v>
      </c>
      <c r="F140" s="31">
        <v>20</v>
      </c>
      <c r="G140" s="31">
        <v>5860</v>
      </c>
      <c r="H140" s="31">
        <v>4981</v>
      </c>
      <c r="I140" s="31">
        <v>2051</v>
      </c>
      <c r="J140" s="30" t="s">
        <v>220</v>
      </c>
    </row>
    <row r="141" spans="1:10" ht="15.75" thickBot="1" x14ac:dyDescent="0.3">
      <c r="A141" s="34" t="s">
        <v>226</v>
      </c>
      <c r="B141" s="34" t="s">
        <v>217</v>
      </c>
      <c r="C141" s="34" t="s">
        <v>240</v>
      </c>
      <c r="D141" s="34">
        <v>2475</v>
      </c>
      <c r="E141" s="35">
        <v>260</v>
      </c>
      <c r="F141" s="35">
        <v>300</v>
      </c>
      <c r="G141" s="35">
        <v>742500</v>
      </c>
      <c r="H141" s="35">
        <v>631125</v>
      </c>
      <c r="I141" s="35">
        <v>12375</v>
      </c>
      <c r="J141" s="34" t="s">
        <v>222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J141"/>
  <sheetViews>
    <sheetView workbookViewId="0">
      <selection sqref="A1:J141"/>
    </sheetView>
  </sheetViews>
  <sheetFormatPr baseColWidth="10" defaultRowHeight="15" x14ac:dyDescent="0.25"/>
  <cols>
    <col min="1" max="1" width="17.7109375" customWidth="1"/>
    <col min="2" max="2" width="34.28515625" customWidth="1"/>
    <col min="3" max="3" width="22.28515625" bestFit="1" customWidth="1"/>
    <col min="4" max="4" width="20.42578125" bestFit="1" customWidth="1"/>
    <col min="5" max="5" width="21.28515625" customWidth="1"/>
    <col min="6" max="6" width="17" customWidth="1"/>
    <col min="7" max="7" width="14.5703125" customWidth="1"/>
    <col min="8" max="8" width="14.85546875" bestFit="1" customWidth="1"/>
    <col min="9" max="9" width="16" bestFit="1" customWidth="1"/>
  </cols>
  <sheetData>
    <row r="1" spans="1:10" ht="15.75" thickBot="1" x14ac:dyDescent="0.3">
      <c r="A1" s="28" t="s">
        <v>202</v>
      </c>
      <c r="B1" s="28" t="s">
        <v>246</v>
      </c>
      <c r="C1" s="28" t="s">
        <v>203</v>
      </c>
      <c r="D1" s="28" t="s">
        <v>204</v>
      </c>
      <c r="E1" s="29" t="s">
        <v>205</v>
      </c>
      <c r="F1" s="29" t="s">
        <v>206</v>
      </c>
      <c r="G1" s="29" t="s">
        <v>207</v>
      </c>
      <c r="H1" s="29" t="s">
        <v>208</v>
      </c>
      <c r="I1" s="29" t="s">
        <v>209</v>
      </c>
      <c r="J1" s="28" t="s">
        <v>210</v>
      </c>
    </row>
    <row r="2" spans="1:10" x14ac:dyDescent="0.25">
      <c r="A2" s="30" t="s">
        <v>211</v>
      </c>
      <c r="B2" s="30" t="s">
        <v>215</v>
      </c>
      <c r="C2" s="30" t="s">
        <v>213</v>
      </c>
      <c r="D2" s="30">
        <v>1321</v>
      </c>
      <c r="E2" s="31">
        <v>3</v>
      </c>
      <c r="F2" s="31">
        <v>20</v>
      </c>
      <c r="G2" s="31">
        <v>26420</v>
      </c>
      <c r="H2" s="31">
        <v>26420</v>
      </c>
      <c r="I2" s="31">
        <v>13210</v>
      </c>
      <c r="J2" s="30" t="s">
        <v>214</v>
      </c>
    </row>
    <row r="3" spans="1:10" x14ac:dyDescent="0.25">
      <c r="A3" s="32" t="s">
        <v>216</v>
      </c>
      <c r="B3" s="32" t="s">
        <v>215</v>
      </c>
      <c r="C3" s="32" t="s">
        <v>213</v>
      </c>
      <c r="D3" s="32">
        <v>888</v>
      </c>
      <c r="E3" s="33">
        <v>3</v>
      </c>
      <c r="F3" s="33">
        <v>15</v>
      </c>
      <c r="G3" s="33">
        <v>13320</v>
      </c>
      <c r="H3" s="33">
        <v>13320</v>
      </c>
      <c r="I3" s="33">
        <v>4440</v>
      </c>
      <c r="J3" s="32" t="s">
        <v>218</v>
      </c>
    </row>
    <row r="4" spans="1:10" x14ac:dyDescent="0.25">
      <c r="A4" s="30" t="s">
        <v>211</v>
      </c>
      <c r="B4" s="30" t="s">
        <v>215</v>
      </c>
      <c r="C4" s="30" t="s">
        <v>213</v>
      </c>
      <c r="D4" s="30">
        <v>1513</v>
      </c>
      <c r="E4" s="31">
        <v>3</v>
      </c>
      <c r="F4" s="31">
        <v>350</v>
      </c>
      <c r="G4" s="31">
        <v>529550</v>
      </c>
      <c r="H4" s="31">
        <v>529550</v>
      </c>
      <c r="I4" s="31">
        <v>136170</v>
      </c>
      <c r="J4" s="30" t="s">
        <v>220</v>
      </c>
    </row>
    <row r="5" spans="1:10" x14ac:dyDescent="0.25">
      <c r="A5" s="32" t="s">
        <v>216</v>
      </c>
      <c r="B5" s="32" t="s">
        <v>215</v>
      </c>
      <c r="C5" s="32" t="s">
        <v>221</v>
      </c>
      <c r="D5" s="32">
        <v>921</v>
      </c>
      <c r="E5" s="33">
        <v>5</v>
      </c>
      <c r="F5" s="33">
        <v>15</v>
      </c>
      <c r="G5" s="33">
        <v>13815</v>
      </c>
      <c r="H5" s="33">
        <v>13815</v>
      </c>
      <c r="I5" s="33">
        <v>4605</v>
      </c>
      <c r="J5" s="32" t="s">
        <v>222</v>
      </c>
    </row>
    <row r="6" spans="1:10" x14ac:dyDescent="0.25">
      <c r="A6" s="30" t="s">
        <v>223</v>
      </c>
      <c r="B6" s="30" t="s">
        <v>215</v>
      </c>
      <c r="C6" s="30" t="s">
        <v>221</v>
      </c>
      <c r="D6" s="30">
        <v>1545</v>
      </c>
      <c r="E6" s="31">
        <v>5</v>
      </c>
      <c r="F6" s="31">
        <v>12</v>
      </c>
      <c r="G6" s="31">
        <v>18540</v>
      </c>
      <c r="H6" s="31">
        <v>18540</v>
      </c>
      <c r="I6" s="31">
        <v>13905</v>
      </c>
      <c r="J6" s="30" t="s">
        <v>218</v>
      </c>
    </row>
    <row r="7" spans="1:10" x14ac:dyDescent="0.25">
      <c r="A7" s="32" t="s">
        <v>211</v>
      </c>
      <c r="B7" s="32" t="s">
        <v>215</v>
      </c>
      <c r="C7" s="32" t="s">
        <v>221</v>
      </c>
      <c r="D7" s="32">
        <v>2146</v>
      </c>
      <c r="E7" s="33">
        <v>5</v>
      </c>
      <c r="F7" s="33">
        <v>7</v>
      </c>
      <c r="G7" s="33">
        <v>15022</v>
      </c>
      <c r="H7" s="33">
        <v>15022</v>
      </c>
      <c r="I7" s="33">
        <v>4292</v>
      </c>
      <c r="J7" s="32" t="s">
        <v>228</v>
      </c>
    </row>
    <row r="8" spans="1:10" x14ac:dyDescent="0.25">
      <c r="A8" s="30" t="s">
        <v>211</v>
      </c>
      <c r="B8" s="30" t="s">
        <v>215</v>
      </c>
      <c r="C8" s="30" t="s">
        <v>231</v>
      </c>
      <c r="D8" s="30">
        <v>1006</v>
      </c>
      <c r="E8" s="31">
        <v>10</v>
      </c>
      <c r="F8" s="31">
        <v>350</v>
      </c>
      <c r="G8" s="31">
        <v>352100</v>
      </c>
      <c r="H8" s="31">
        <v>352100</v>
      </c>
      <c r="I8" s="31">
        <v>90540</v>
      </c>
      <c r="J8" s="30" t="s">
        <v>218</v>
      </c>
    </row>
    <row r="9" spans="1:10" x14ac:dyDescent="0.25">
      <c r="A9" s="32" t="s">
        <v>223</v>
      </c>
      <c r="B9" s="32" t="s">
        <v>215</v>
      </c>
      <c r="C9" s="32" t="s">
        <v>231</v>
      </c>
      <c r="D9" s="32">
        <v>367</v>
      </c>
      <c r="E9" s="33">
        <v>10</v>
      </c>
      <c r="F9" s="33">
        <v>12</v>
      </c>
      <c r="G9" s="33">
        <v>4404</v>
      </c>
      <c r="H9" s="33">
        <v>4404</v>
      </c>
      <c r="I9" s="33">
        <v>3303</v>
      </c>
      <c r="J9" s="32" t="s">
        <v>225</v>
      </c>
    </row>
    <row r="10" spans="1:10" x14ac:dyDescent="0.25">
      <c r="A10" s="30" t="s">
        <v>211</v>
      </c>
      <c r="B10" s="30" t="s">
        <v>215</v>
      </c>
      <c r="C10" s="30" t="s">
        <v>231</v>
      </c>
      <c r="D10" s="30">
        <v>1513</v>
      </c>
      <c r="E10" s="31">
        <v>10</v>
      </c>
      <c r="F10" s="31">
        <v>350</v>
      </c>
      <c r="G10" s="31">
        <v>529550</v>
      </c>
      <c r="H10" s="31">
        <v>529550</v>
      </c>
      <c r="I10" s="31">
        <v>136170</v>
      </c>
      <c r="J10" s="30" t="s">
        <v>220</v>
      </c>
    </row>
    <row r="11" spans="1:10" x14ac:dyDescent="0.25">
      <c r="A11" s="32" t="s">
        <v>223</v>
      </c>
      <c r="B11" s="32" t="s">
        <v>215</v>
      </c>
      <c r="C11" s="32" t="s">
        <v>237</v>
      </c>
      <c r="D11" s="32">
        <v>2161</v>
      </c>
      <c r="E11" s="33">
        <v>120</v>
      </c>
      <c r="F11" s="33">
        <v>12</v>
      </c>
      <c r="G11" s="33">
        <v>25932</v>
      </c>
      <c r="H11" s="33">
        <v>25932</v>
      </c>
      <c r="I11" s="33">
        <v>19449</v>
      </c>
      <c r="J11" s="32" t="s">
        <v>222</v>
      </c>
    </row>
    <row r="12" spans="1:10" x14ac:dyDescent="0.25">
      <c r="A12" s="30" t="s">
        <v>211</v>
      </c>
      <c r="B12" s="30" t="s">
        <v>215</v>
      </c>
      <c r="C12" s="30" t="s">
        <v>237</v>
      </c>
      <c r="D12" s="30">
        <v>1006</v>
      </c>
      <c r="E12" s="31">
        <v>120</v>
      </c>
      <c r="F12" s="31">
        <v>350</v>
      </c>
      <c r="G12" s="31">
        <v>352100</v>
      </c>
      <c r="H12" s="31">
        <v>352100</v>
      </c>
      <c r="I12" s="31">
        <v>90540</v>
      </c>
      <c r="J12" s="30" t="s">
        <v>218</v>
      </c>
    </row>
    <row r="13" spans="1:10" x14ac:dyDescent="0.25">
      <c r="A13" s="32" t="s">
        <v>223</v>
      </c>
      <c r="B13" s="32" t="s">
        <v>215</v>
      </c>
      <c r="C13" s="32" t="s">
        <v>237</v>
      </c>
      <c r="D13" s="32">
        <v>1545</v>
      </c>
      <c r="E13" s="33">
        <v>120</v>
      </c>
      <c r="F13" s="33">
        <v>12</v>
      </c>
      <c r="G13" s="33">
        <v>18540</v>
      </c>
      <c r="H13" s="33">
        <v>18540</v>
      </c>
      <c r="I13" s="33">
        <v>13905</v>
      </c>
      <c r="J13" s="32" t="s">
        <v>218</v>
      </c>
    </row>
    <row r="14" spans="1:10" x14ac:dyDescent="0.25">
      <c r="A14" s="30" t="s">
        <v>223</v>
      </c>
      <c r="B14" s="30" t="s">
        <v>215</v>
      </c>
      <c r="C14" s="30" t="s">
        <v>238</v>
      </c>
      <c r="D14" s="30">
        <v>2838</v>
      </c>
      <c r="E14" s="31">
        <v>250</v>
      </c>
      <c r="F14" s="31">
        <v>12</v>
      </c>
      <c r="G14" s="31">
        <v>34056</v>
      </c>
      <c r="H14" s="31">
        <v>34056</v>
      </c>
      <c r="I14" s="31">
        <v>25542</v>
      </c>
      <c r="J14" s="30" t="s">
        <v>239</v>
      </c>
    </row>
    <row r="15" spans="1:10" x14ac:dyDescent="0.25">
      <c r="A15" s="32" t="s">
        <v>216</v>
      </c>
      <c r="B15" s="32" t="s">
        <v>215</v>
      </c>
      <c r="C15" s="32" t="s">
        <v>238</v>
      </c>
      <c r="D15" s="32">
        <v>888</v>
      </c>
      <c r="E15" s="33">
        <v>250</v>
      </c>
      <c r="F15" s="33">
        <v>15</v>
      </c>
      <c r="G15" s="33">
        <v>13320</v>
      </c>
      <c r="H15" s="33">
        <v>13320</v>
      </c>
      <c r="I15" s="33">
        <v>4440</v>
      </c>
      <c r="J15" s="32" t="s">
        <v>218</v>
      </c>
    </row>
    <row r="16" spans="1:10" x14ac:dyDescent="0.25">
      <c r="A16" s="30" t="s">
        <v>224</v>
      </c>
      <c r="B16" s="30" t="s">
        <v>215</v>
      </c>
      <c r="C16" s="30" t="s">
        <v>240</v>
      </c>
      <c r="D16" s="30">
        <v>4219.5</v>
      </c>
      <c r="E16" s="31">
        <v>260</v>
      </c>
      <c r="F16" s="31">
        <v>125</v>
      </c>
      <c r="G16" s="31">
        <v>527437.5</v>
      </c>
      <c r="H16" s="31">
        <v>527437.5</v>
      </c>
      <c r="I16" s="31">
        <v>21097.5</v>
      </c>
      <c r="J16" s="30" t="s">
        <v>239</v>
      </c>
    </row>
    <row r="17" spans="1:10" x14ac:dyDescent="0.25">
      <c r="A17" s="32" t="s">
        <v>211</v>
      </c>
      <c r="B17" s="32" t="s">
        <v>215</v>
      </c>
      <c r="C17" s="32" t="s">
        <v>240</v>
      </c>
      <c r="D17" s="32">
        <v>1686</v>
      </c>
      <c r="E17" s="33">
        <v>260</v>
      </c>
      <c r="F17" s="33">
        <v>7</v>
      </c>
      <c r="G17" s="33">
        <v>11802</v>
      </c>
      <c r="H17" s="33">
        <v>11802</v>
      </c>
      <c r="I17" s="33">
        <v>3372</v>
      </c>
      <c r="J17" s="32" t="s">
        <v>225</v>
      </c>
    </row>
    <row r="18" spans="1:10" x14ac:dyDescent="0.25">
      <c r="A18" s="30" t="s">
        <v>223</v>
      </c>
      <c r="B18" s="30" t="s">
        <v>215</v>
      </c>
      <c r="C18" s="30" t="s">
        <v>213</v>
      </c>
      <c r="D18" s="30">
        <v>766</v>
      </c>
      <c r="E18" s="31">
        <v>3</v>
      </c>
      <c r="F18" s="31">
        <v>12</v>
      </c>
      <c r="G18" s="31">
        <v>9192</v>
      </c>
      <c r="H18" s="31">
        <v>9100.08</v>
      </c>
      <c r="I18" s="31">
        <v>6802.08</v>
      </c>
      <c r="J18" s="30" t="s">
        <v>229</v>
      </c>
    </row>
    <row r="19" spans="1:10" x14ac:dyDescent="0.25">
      <c r="A19" s="32" t="s">
        <v>216</v>
      </c>
      <c r="B19" s="32" t="s">
        <v>215</v>
      </c>
      <c r="C19" s="32" t="s">
        <v>231</v>
      </c>
      <c r="D19" s="32">
        <v>747</v>
      </c>
      <c r="E19" s="33">
        <v>10</v>
      </c>
      <c r="F19" s="33">
        <v>15</v>
      </c>
      <c r="G19" s="33">
        <v>11205</v>
      </c>
      <c r="H19" s="33">
        <v>11092.95</v>
      </c>
      <c r="I19" s="33">
        <v>3622.9500000000007</v>
      </c>
      <c r="J19" s="32" t="s">
        <v>228</v>
      </c>
    </row>
    <row r="20" spans="1:10" x14ac:dyDescent="0.25">
      <c r="A20" s="30" t="s">
        <v>223</v>
      </c>
      <c r="B20" s="30" t="s">
        <v>215</v>
      </c>
      <c r="C20" s="30" t="s">
        <v>231</v>
      </c>
      <c r="D20" s="30">
        <v>766</v>
      </c>
      <c r="E20" s="31">
        <v>10</v>
      </c>
      <c r="F20" s="31">
        <v>12</v>
      </c>
      <c r="G20" s="31">
        <v>9192</v>
      </c>
      <c r="H20" s="31">
        <v>9100.08</v>
      </c>
      <c r="I20" s="31">
        <v>6802.08</v>
      </c>
      <c r="J20" s="30" t="s">
        <v>229</v>
      </c>
    </row>
    <row r="21" spans="1:10" x14ac:dyDescent="0.25">
      <c r="A21" s="32" t="s">
        <v>211</v>
      </c>
      <c r="B21" s="32" t="s">
        <v>215</v>
      </c>
      <c r="C21" s="32" t="s">
        <v>238</v>
      </c>
      <c r="D21" s="32">
        <v>263</v>
      </c>
      <c r="E21" s="33">
        <v>250</v>
      </c>
      <c r="F21" s="33">
        <v>7</v>
      </c>
      <c r="G21" s="33">
        <v>1841</v>
      </c>
      <c r="H21" s="33">
        <v>1822.59</v>
      </c>
      <c r="I21" s="33">
        <v>507.58999999999992</v>
      </c>
      <c r="J21" s="32" t="s">
        <v>222</v>
      </c>
    </row>
    <row r="22" spans="1:10" x14ac:dyDescent="0.25">
      <c r="A22" s="30" t="s">
        <v>226</v>
      </c>
      <c r="B22" s="30" t="s">
        <v>215</v>
      </c>
      <c r="C22" s="30" t="s">
        <v>238</v>
      </c>
      <c r="D22" s="30">
        <v>986</v>
      </c>
      <c r="E22" s="31">
        <v>250</v>
      </c>
      <c r="F22" s="31">
        <v>300</v>
      </c>
      <c r="G22" s="31">
        <v>295800</v>
      </c>
      <c r="H22" s="31">
        <v>292842</v>
      </c>
      <c r="I22" s="31">
        <v>46342</v>
      </c>
      <c r="J22" s="30" t="s">
        <v>228</v>
      </c>
    </row>
    <row r="23" spans="1:10" x14ac:dyDescent="0.25">
      <c r="A23" s="32" t="s">
        <v>226</v>
      </c>
      <c r="B23" s="32" t="s">
        <v>215</v>
      </c>
      <c r="C23" s="32" t="s">
        <v>213</v>
      </c>
      <c r="D23" s="32">
        <v>214</v>
      </c>
      <c r="E23" s="33">
        <v>3</v>
      </c>
      <c r="F23" s="33">
        <v>300</v>
      </c>
      <c r="G23" s="33">
        <v>64200</v>
      </c>
      <c r="H23" s="33">
        <v>62916</v>
      </c>
      <c r="I23" s="33">
        <v>9416</v>
      </c>
      <c r="J23" s="32" t="s">
        <v>229</v>
      </c>
    </row>
    <row r="24" spans="1:10" x14ac:dyDescent="0.25">
      <c r="A24" s="30" t="s">
        <v>226</v>
      </c>
      <c r="B24" s="30" t="s">
        <v>215</v>
      </c>
      <c r="C24" s="30" t="s">
        <v>231</v>
      </c>
      <c r="D24" s="30">
        <v>1728</v>
      </c>
      <c r="E24" s="31">
        <v>10</v>
      </c>
      <c r="F24" s="31">
        <v>300</v>
      </c>
      <c r="G24" s="31">
        <v>518400</v>
      </c>
      <c r="H24" s="31">
        <v>508032</v>
      </c>
      <c r="I24" s="31">
        <v>76032</v>
      </c>
      <c r="J24" s="30" t="s">
        <v>241</v>
      </c>
    </row>
    <row r="25" spans="1:10" x14ac:dyDescent="0.25">
      <c r="A25" s="32" t="s">
        <v>224</v>
      </c>
      <c r="B25" s="32" t="s">
        <v>215</v>
      </c>
      <c r="C25" s="32" t="s">
        <v>231</v>
      </c>
      <c r="D25" s="32">
        <v>809</v>
      </c>
      <c r="E25" s="33">
        <v>10</v>
      </c>
      <c r="F25" s="33">
        <v>125</v>
      </c>
      <c r="G25" s="33">
        <v>101125</v>
      </c>
      <c r="H25" s="33">
        <v>99102.5</v>
      </c>
      <c r="I25" s="33">
        <v>2022.5</v>
      </c>
      <c r="J25" s="32" t="s">
        <v>229</v>
      </c>
    </row>
    <row r="26" spans="1:10" x14ac:dyDescent="0.25">
      <c r="A26" s="30" t="s">
        <v>211</v>
      </c>
      <c r="B26" s="30" t="s">
        <v>215</v>
      </c>
      <c r="C26" s="30" t="s">
        <v>237</v>
      </c>
      <c r="D26" s="30">
        <v>2966</v>
      </c>
      <c r="E26" s="31">
        <v>120</v>
      </c>
      <c r="F26" s="31">
        <v>350</v>
      </c>
      <c r="G26" s="31">
        <v>1038100</v>
      </c>
      <c r="H26" s="31">
        <v>1017338</v>
      </c>
      <c r="I26" s="31">
        <v>246178</v>
      </c>
      <c r="J26" s="30" t="s">
        <v>229</v>
      </c>
    </row>
    <row r="27" spans="1:10" x14ac:dyDescent="0.25">
      <c r="A27" s="32" t="s">
        <v>211</v>
      </c>
      <c r="B27" s="32" t="s">
        <v>215</v>
      </c>
      <c r="C27" s="32" t="s">
        <v>237</v>
      </c>
      <c r="D27" s="32">
        <v>2877</v>
      </c>
      <c r="E27" s="33">
        <v>120</v>
      </c>
      <c r="F27" s="33">
        <v>350</v>
      </c>
      <c r="G27" s="33">
        <v>1006950</v>
      </c>
      <c r="H27" s="33">
        <v>986811</v>
      </c>
      <c r="I27" s="33">
        <v>238791</v>
      </c>
      <c r="J27" s="32" t="s">
        <v>234</v>
      </c>
    </row>
    <row r="28" spans="1:10" x14ac:dyDescent="0.25">
      <c r="A28" s="30" t="s">
        <v>224</v>
      </c>
      <c r="B28" s="30" t="s">
        <v>215</v>
      </c>
      <c r="C28" s="30" t="s">
        <v>237</v>
      </c>
      <c r="D28" s="30">
        <v>809</v>
      </c>
      <c r="E28" s="31">
        <v>120</v>
      </c>
      <c r="F28" s="31">
        <v>125</v>
      </c>
      <c r="G28" s="31">
        <v>101125</v>
      </c>
      <c r="H28" s="31">
        <v>99102.5</v>
      </c>
      <c r="I28" s="31">
        <v>2022.5</v>
      </c>
      <c r="J28" s="30" t="s">
        <v>229</v>
      </c>
    </row>
    <row r="29" spans="1:10" x14ac:dyDescent="0.25">
      <c r="A29" s="32" t="s">
        <v>226</v>
      </c>
      <c r="B29" s="32" t="s">
        <v>215</v>
      </c>
      <c r="C29" s="32" t="s">
        <v>238</v>
      </c>
      <c r="D29" s="32">
        <v>214</v>
      </c>
      <c r="E29" s="33">
        <v>250</v>
      </c>
      <c r="F29" s="33">
        <v>300</v>
      </c>
      <c r="G29" s="33">
        <v>64200</v>
      </c>
      <c r="H29" s="33">
        <v>62916</v>
      </c>
      <c r="I29" s="33">
        <v>9416</v>
      </c>
      <c r="J29" s="32" t="s">
        <v>229</v>
      </c>
    </row>
    <row r="30" spans="1:10" x14ac:dyDescent="0.25">
      <c r="A30" s="30" t="s">
        <v>211</v>
      </c>
      <c r="B30" s="30" t="s">
        <v>215</v>
      </c>
      <c r="C30" s="30" t="s">
        <v>238</v>
      </c>
      <c r="D30" s="30">
        <v>2877</v>
      </c>
      <c r="E30" s="31">
        <v>250</v>
      </c>
      <c r="F30" s="31">
        <v>350</v>
      </c>
      <c r="G30" s="31">
        <v>1006950</v>
      </c>
      <c r="H30" s="31">
        <v>986811</v>
      </c>
      <c r="I30" s="31">
        <v>238791</v>
      </c>
      <c r="J30" s="30" t="s">
        <v>234</v>
      </c>
    </row>
    <row r="31" spans="1:10" x14ac:dyDescent="0.25">
      <c r="A31" s="32" t="s">
        <v>226</v>
      </c>
      <c r="B31" s="32" t="s">
        <v>215</v>
      </c>
      <c r="C31" s="32" t="s">
        <v>240</v>
      </c>
      <c r="D31" s="32">
        <v>259</v>
      </c>
      <c r="E31" s="33">
        <v>260</v>
      </c>
      <c r="F31" s="33">
        <v>300</v>
      </c>
      <c r="G31" s="33">
        <v>77700</v>
      </c>
      <c r="H31" s="33">
        <v>76146</v>
      </c>
      <c r="I31" s="33">
        <v>11396</v>
      </c>
      <c r="J31" s="32" t="s">
        <v>222</v>
      </c>
    </row>
    <row r="32" spans="1:10" x14ac:dyDescent="0.25">
      <c r="A32" s="30" t="s">
        <v>224</v>
      </c>
      <c r="B32" s="30" t="s">
        <v>215</v>
      </c>
      <c r="C32" s="30" t="s">
        <v>240</v>
      </c>
      <c r="D32" s="30">
        <v>2276</v>
      </c>
      <c r="E32" s="31">
        <v>260</v>
      </c>
      <c r="F32" s="31">
        <v>125</v>
      </c>
      <c r="G32" s="31">
        <v>284500</v>
      </c>
      <c r="H32" s="31">
        <v>278810</v>
      </c>
      <c r="I32" s="31">
        <v>5690</v>
      </c>
      <c r="J32" s="30" t="s">
        <v>241</v>
      </c>
    </row>
    <row r="33" spans="1:10" x14ac:dyDescent="0.25">
      <c r="A33" s="32" t="s">
        <v>211</v>
      </c>
      <c r="B33" s="32" t="s">
        <v>215</v>
      </c>
      <c r="C33" s="32" t="s">
        <v>240</v>
      </c>
      <c r="D33" s="32">
        <v>2966</v>
      </c>
      <c r="E33" s="33">
        <v>260</v>
      </c>
      <c r="F33" s="33">
        <v>350</v>
      </c>
      <c r="G33" s="33">
        <v>1038100</v>
      </c>
      <c r="H33" s="33">
        <v>1017338</v>
      </c>
      <c r="I33" s="33">
        <v>246178</v>
      </c>
      <c r="J33" s="32" t="s">
        <v>229</v>
      </c>
    </row>
    <row r="34" spans="1:10" x14ac:dyDescent="0.25">
      <c r="A34" s="30" t="s">
        <v>211</v>
      </c>
      <c r="B34" s="30" t="s">
        <v>215</v>
      </c>
      <c r="C34" s="30" t="s">
        <v>213</v>
      </c>
      <c r="D34" s="30">
        <v>2580</v>
      </c>
      <c r="E34" s="31">
        <v>3</v>
      </c>
      <c r="F34" s="31">
        <v>20</v>
      </c>
      <c r="G34" s="31">
        <v>51600</v>
      </c>
      <c r="H34" s="31">
        <v>50052</v>
      </c>
      <c r="I34" s="31">
        <v>24252</v>
      </c>
      <c r="J34" s="30" t="s">
        <v>239</v>
      </c>
    </row>
    <row r="35" spans="1:10" x14ac:dyDescent="0.25">
      <c r="A35" s="32" t="s">
        <v>226</v>
      </c>
      <c r="B35" s="32" t="s">
        <v>215</v>
      </c>
      <c r="C35" s="32" t="s">
        <v>213</v>
      </c>
      <c r="D35" s="32">
        <v>689</v>
      </c>
      <c r="E35" s="33">
        <v>3</v>
      </c>
      <c r="F35" s="33">
        <v>300</v>
      </c>
      <c r="G35" s="33">
        <v>206700</v>
      </c>
      <c r="H35" s="33">
        <v>200499</v>
      </c>
      <c r="I35" s="33">
        <v>28249</v>
      </c>
      <c r="J35" s="32" t="s">
        <v>218</v>
      </c>
    </row>
    <row r="36" spans="1:10" x14ac:dyDescent="0.25">
      <c r="A36" s="30" t="s">
        <v>211</v>
      </c>
      <c r="B36" s="30" t="s">
        <v>215</v>
      </c>
      <c r="C36" s="30" t="s">
        <v>221</v>
      </c>
      <c r="D36" s="30">
        <v>1958</v>
      </c>
      <c r="E36" s="31">
        <v>5</v>
      </c>
      <c r="F36" s="31">
        <v>7</v>
      </c>
      <c r="G36" s="31">
        <v>13706</v>
      </c>
      <c r="H36" s="31">
        <v>13294.82</v>
      </c>
      <c r="I36" s="31">
        <v>3504.8199999999997</v>
      </c>
      <c r="J36" s="30" t="s">
        <v>232</v>
      </c>
    </row>
    <row r="37" spans="1:10" x14ac:dyDescent="0.25">
      <c r="A37" s="32" t="s">
        <v>211</v>
      </c>
      <c r="B37" s="32" t="s">
        <v>215</v>
      </c>
      <c r="C37" s="32" t="s">
        <v>221</v>
      </c>
      <c r="D37" s="32">
        <v>1797</v>
      </c>
      <c r="E37" s="33">
        <v>5</v>
      </c>
      <c r="F37" s="33">
        <v>350</v>
      </c>
      <c r="G37" s="33">
        <v>628950</v>
      </c>
      <c r="H37" s="33">
        <v>610081.5</v>
      </c>
      <c r="I37" s="33">
        <v>142861.5</v>
      </c>
      <c r="J37" s="32" t="s">
        <v>233</v>
      </c>
    </row>
    <row r="38" spans="1:10" x14ac:dyDescent="0.25">
      <c r="A38" s="30" t="s">
        <v>224</v>
      </c>
      <c r="B38" s="30" t="s">
        <v>215</v>
      </c>
      <c r="C38" s="30" t="s">
        <v>221</v>
      </c>
      <c r="D38" s="30">
        <v>1706</v>
      </c>
      <c r="E38" s="31">
        <v>5</v>
      </c>
      <c r="F38" s="31">
        <v>125</v>
      </c>
      <c r="G38" s="31">
        <v>213250</v>
      </c>
      <c r="H38" s="31">
        <v>206852.5</v>
      </c>
      <c r="I38" s="31">
        <v>2132.5</v>
      </c>
      <c r="J38" s="30" t="s">
        <v>220</v>
      </c>
    </row>
    <row r="39" spans="1:10" x14ac:dyDescent="0.25">
      <c r="A39" s="32" t="s">
        <v>226</v>
      </c>
      <c r="B39" s="32" t="s">
        <v>215</v>
      </c>
      <c r="C39" s="32" t="s">
        <v>231</v>
      </c>
      <c r="D39" s="32">
        <v>689</v>
      </c>
      <c r="E39" s="33">
        <v>10</v>
      </c>
      <c r="F39" s="33">
        <v>300</v>
      </c>
      <c r="G39" s="33">
        <v>206700</v>
      </c>
      <c r="H39" s="33">
        <v>200499</v>
      </c>
      <c r="I39" s="33">
        <v>28249</v>
      </c>
      <c r="J39" s="32" t="s">
        <v>218</v>
      </c>
    </row>
    <row r="40" spans="1:10" x14ac:dyDescent="0.25">
      <c r="A40" s="30" t="s">
        <v>224</v>
      </c>
      <c r="B40" s="30" t="s">
        <v>215</v>
      </c>
      <c r="C40" s="30" t="s">
        <v>231</v>
      </c>
      <c r="D40" s="30">
        <v>1570</v>
      </c>
      <c r="E40" s="31">
        <v>10</v>
      </c>
      <c r="F40" s="31">
        <v>125</v>
      </c>
      <c r="G40" s="31">
        <v>196250</v>
      </c>
      <c r="H40" s="31">
        <v>190362.5</v>
      </c>
      <c r="I40" s="31">
        <v>1962.5</v>
      </c>
      <c r="J40" s="30" t="s">
        <v>218</v>
      </c>
    </row>
    <row r="41" spans="1:10" x14ac:dyDescent="0.25">
      <c r="A41" s="32" t="s">
        <v>216</v>
      </c>
      <c r="B41" s="32" t="s">
        <v>215</v>
      </c>
      <c r="C41" s="32" t="s">
        <v>231</v>
      </c>
      <c r="D41" s="32">
        <v>1945</v>
      </c>
      <c r="E41" s="33">
        <v>10</v>
      </c>
      <c r="F41" s="33">
        <v>15</v>
      </c>
      <c r="G41" s="33">
        <v>29175</v>
      </c>
      <c r="H41" s="33">
        <v>28299.75</v>
      </c>
      <c r="I41" s="33">
        <v>8849.75</v>
      </c>
      <c r="J41" s="32" t="s">
        <v>229</v>
      </c>
    </row>
    <row r="42" spans="1:10" x14ac:dyDescent="0.25">
      <c r="A42" s="30" t="s">
        <v>224</v>
      </c>
      <c r="B42" s="30" t="s">
        <v>215</v>
      </c>
      <c r="C42" s="30" t="s">
        <v>231</v>
      </c>
      <c r="D42" s="30">
        <v>1706</v>
      </c>
      <c r="E42" s="31">
        <v>10</v>
      </c>
      <c r="F42" s="31">
        <v>125</v>
      </c>
      <c r="G42" s="31">
        <v>213250</v>
      </c>
      <c r="H42" s="31">
        <v>206852.5</v>
      </c>
      <c r="I42" s="31">
        <v>2132.5</v>
      </c>
      <c r="J42" s="30" t="s">
        <v>220</v>
      </c>
    </row>
    <row r="43" spans="1:10" x14ac:dyDescent="0.25">
      <c r="A43" s="32" t="s">
        <v>224</v>
      </c>
      <c r="B43" s="32" t="s">
        <v>215</v>
      </c>
      <c r="C43" s="32" t="s">
        <v>238</v>
      </c>
      <c r="D43" s="32">
        <v>1570</v>
      </c>
      <c r="E43" s="33">
        <v>250</v>
      </c>
      <c r="F43" s="33">
        <v>125</v>
      </c>
      <c r="G43" s="33">
        <v>196250</v>
      </c>
      <c r="H43" s="33">
        <v>190362.5</v>
      </c>
      <c r="I43" s="33">
        <v>1962.5</v>
      </c>
      <c r="J43" s="32" t="s">
        <v>218</v>
      </c>
    </row>
    <row r="44" spans="1:10" x14ac:dyDescent="0.25">
      <c r="A44" s="30" t="s">
        <v>216</v>
      </c>
      <c r="B44" s="30" t="s">
        <v>215</v>
      </c>
      <c r="C44" s="30" t="s">
        <v>238</v>
      </c>
      <c r="D44" s="30">
        <v>1945</v>
      </c>
      <c r="E44" s="31">
        <v>250</v>
      </c>
      <c r="F44" s="31">
        <v>15</v>
      </c>
      <c r="G44" s="31">
        <v>29175</v>
      </c>
      <c r="H44" s="31">
        <v>28299.75</v>
      </c>
      <c r="I44" s="31">
        <v>8849.75</v>
      </c>
      <c r="J44" s="30" t="s">
        <v>229</v>
      </c>
    </row>
    <row r="45" spans="1:10" x14ac:dyDescent="0.25">
      <c r="A45" s="32" t="s">
        <v>223</v>
      </c>
      <c r="B45" s="32" t="s">
        <v>215</v>
      </c>
      <c r="C45" s="32" t="s">
        <v>238</v>
      </c>
      <c r="D45" s="32">
        <v>2479</v>
      </c>
      <c r="E45" s="33">
        <v>250</v>
      </c>
      <c r="F45" s="33">
        <v>12</v>
      </c>
      <c r="G45" s="33">
        <v>29748</v>
      </c>
      <c r="H45" s="33">
        <v>28855.56</v>
      </c>
      <c r="I45" s="33">
        <v>21418.560000000001</v>
      </c>
      <c r="J45" s="32" t="s">
        <v>214</v>
      </c>
    </row>
    <row r="46" spans="1:10" x14ac:dyDescent="0.25">
      <c r="A46" s="30" t="s">
        <v>226</v>
      </c>
      <c r="B46" s="30" t="s">
        <v>215</v>
      </c>
      <c r="C46" s="30" t="s">
        <v>213</v>
      </c>
      <c r="D46" s="30">
        <v>2021</v>
      </c>
      <c r="E46" s="31">
        <v>3</v>
      </c>
      <c r="F46" s="31">
        <v>300</v>
      </c>
      <c r="G46" s="31">
        <v>606300</v>
      </c>
      <c r="H46" s="31">
        <v>582048</v>
      </c>
      <c r="I46" s="31">
        <v>76798</v>
      </c>
      <c r="J46" s="30" t="s">
        <v>234</v>
      </c>
    </row>
    <row r="47" spans="1:10" x14ac:dyDescent="0.25">
      <c r="A47" s="32" t="s">
        <v>226</v>
      </c>
      <c r="B47" s="32" t="s">
        <v>215</v>
      </c>
      <c r="C47" s="32" t="s">
        <v>221</v>
      </c>
      <c r="D47" s="32">
        <v>1859</v>
      </c>
      <c r="E47" s="33">
        <v>5</v>
      </c>
      <c r="F47" s="33">
        <v>300</v>
      </c>
      <c r="G47" s="33">
        <v>557700</v>
      </c>
      <c r="H47" s="33">
        <v>535392</v>
      </c>
      <c r="I47" s="33">
        <v>70642</v>
      </c>
      <c r="J47" s="32" t="s">
        <v>227</v>
      </c>
    </row>
    <row r="48" spans="1:10" x14ac:dyDescent="0.25">
      <c r="A48" s="30" t="s">
        <v>226</v>
      </c>
      <c r="B48" s="30" t="s">
        <v>215</v>
      </c>
      <c r="C48" s="30" t="s">
        <v>221</v>
      </c>
      <c r="D48" s="30">
        <v>2021</v>
      </c>
      <c r="E48" s="31">
        <v>5</v>
      </c>
      <c r="F48" s="31">
        <v>300</v>
      </c>
      <c r="G48" s="31">
        <v>606300</v>
      </c>
      <c r="H48" s="31">
        <v>582048</v>
      </c>
      <c r="I48" s="31">
        <v>76798</v>
      </c>
      <c r="J48" s="30" t="s">
        <v>234</v>
      </c>
    </row>
    <row r="49" spans="1:10" x14ac:dyDescent="0.25">
      <c r="A49" s="32" t="s">
        <v>224</v>
      </c>
      <c r="B49" s="32" t="s">
        <v>215</v>
      </c>
      <c r="C49" s="32" t="s">
        <v>231</v>
      </c>
      <c r="D49" s="32">
        <v>795</v>
      </c>
      <c r="E49" s="33">
        <v>10</v>
      </c>
      <c r="F49" s="33">
        <v>125</v>
      </c>
      <c r="G49" s="33">
        <v>99375</v>
      </c>
      <c r="H49" s="33">
        <v>95400</v>
      </c>
      <c r="I49" s="33">
        <v>0</v>
      </c>
      <c r="J49" s="32" t="s">
        <v>222</v>
      </c>
    </row>
    <row r="50" spans="1:10" x14ac:dyDescent="0.25">
      <c r="A50" s="30" t="s">
        <v>226</v>
      </c>
      <c r="B50" s="30" t="s">
        <v>215</v>
      </c>
      <c r="C50" s="30" t="s">
        <v>231</v>
      </c>
      <c r="D50" s="30">
        <v>1414.5</v>
      </c>
      <c r="E50" s="31">
        <v>10</v>
      </c>
      <c r="F50" s="31">
        <v>300</v>
      </c>
      <c r="G50" s="31">
        <v>424350</v>
      </c>
      <c r="H50" s="31">
        <v>407376</v>
      </c>
      <c r="I50" s="31">
        <v>53751</v>
      </c>
      <c r="J50" s="30" t="s">
        <v>239</v>
      </c>
    </row>
    <row r="51" spans="1:10" x14ac:dyDescent="0.25">
      <c r="A51" s="32" t="s">
        <v>211</v>
      </c>
      <c r="B51" s="32" t="s">
        <v>215</v>
      </c>
      <c r="C51" s="32" t="s">
        <v>240</v>
      </c>
      <c r="D51" s="32">
        <v>1907</v>
      </c>
      <c r="E51" s="33">
        <v>260</v>
      </c>
      <c r="F51" s="33">
        <v>350</v>
      </c>
      <c r="G51" s="33">
        <v>667450</v>
      </c>
      <c r="H51" s="33">
        <v>640752</v>
      </c>
      <c r="I51" s="33">
        <v>144932</v>
      </c>
      <c r="J51" s="32" t="s">
        <v>228</v>
      </c>
    </row>
    <row r="52" spans="1:10" x14ac:dyDescent="0.25">
      <c r="A52" s="30" t="s">
        <v>211</v>
      </c>
      <c r="B52" s="30" t="s">
        <v>215</v>
      </c>
      <c r="C52" s="30" t="s">
        <v>221</v>
      </c>
      <c r="D52" s="30">
        <v>1159</v>
      </c>
      <c r="E52" s="31">
        <v>5</v>
      </c>
      <c r="F52" s="31">
        <v>7</v>
      </c>
      <c r="G52" s="31">
        <v>8113</v>
      </c>
      <c r="H52" s="31">
        <v>7707.35</v>
      </c>
      <c r="I52" s="31">
        <v>1912.3500000000004</v>
      </c>
      <c r="J52" s="30" t="s">
        <v>229</v>
      </c>
    </row>
    <row r="53" spans="1:10" x14ac:dyDescent="0.25">
      <c r="A53" s="32" t="s">
        <v>211</v>
      </c>
      <c r="B53" s="32" t="s">
        <v>215</v>
      </c>
      <c r="C53" s="32" t="s">
        <v>231</v>
      </c>
      <c r="D53" s="32">
        <v>1372</v>
      </c>
      <c r="E53" s="33">
        <v>10</v>
      </c>
      <c r="F53" s="33">
        <v>7</v>
      </c>
      <c r="G53" s="33">
        <v>9604</v>
      </c>
      <c r="H53" s="33">
        <v>9123.7999999999993</v>
      </c>
      <c r="I53" s="33">
        <v>2263.7999999999993</v>
      </c>
      <c r="J53" s="32" t="s">
        <v>214</v>
      </c>
    </row>
    <row r="54" spans="1:10" x14ac:dyDescent="0.25">
      <c r="A54" s="30" t="s">
        <v>211</v>
      </c>
      <c r="B54" s="30" t="s">
        <v>215</v>
      </c>
      <c r="C54" s="30" t="s">
        <v>240</v>
      </c>
      <c r="D54" s="30">
        <v>1159</v>
      </c>
      <c r="E54" s="31">
        <v>260</v>
      </c>
      <c r="F54" s="31">
        <v>7</v>
      </c>
      <c r="G54" s="31">
        <v>8113</v>
      </c>
      <c r="H54" s="31">
        <v>7707.35</v>
      </c>
      <c r="I54" s="31">
        <v>1912.3500000000004</v>
      </c>
      <c r="J54" s="30" t="s">
        <v>229</v>
      </c>
    </row>
    <row r="55" spans="1:10" x14ac:dyDescent="0.25">
      <c r="A55" s="32" t="s">
        <v>223</v>
      </c>
      <c r="B55" s="32" t="s">
        <v>215</v>
      </c>
      <c r="C55" s="32" t="s">
        <v>213</v>
      </c>
      <c r="D55" s="32">
        <v>1116</v>
      </c>
      <c r="E55" s="33">
        <v>3</v>
      </c>
      <c r="F55" s="33">
        <v>12</v>
      </c>
      <c r="G55" s="33">
        <v>13392</v>
      </c>
      <c r="H55" s="33">
        <v>12722.4</v>
      </c>
      <c r="I55" s="33">
        <v>9374.4</v>
      </c>
      <c r="J55" s="32" t="s">
        <v>232</v>
      </c>
    </row>
    <row r="56" spans="1:10" x14ac:dyDescent="0.25">
      <c r="A56" s="30" t="s">
        <v>211</v>
      </c>
      <c r="B56" s="30" t="s">
        <v>215</v>
      </c>
      <c r="C56" s="30" t="s">
        <v>213</v>
      </c>
      <c r="D56" s="30">
        <v>1016</v>
      </c>
      <c r="E56" s="31">
        <v>3</v>
      </c>
      <c r="F56" s="31">
        <v>7</v>
      </c>
      <c r="G56" s="31">
        <v>7112</v>
      </c>
      <c r="H56" s="31">
        <v>6756.4</v>
      </c>
      <c r="I56" s="31">
        <v>1676.3999999999996</v>
      </c>
      <c r="J56" s="30" t="s">
        <v>235</v>
      </c>
    </row>
    <row r="57" spans="1:10" x14ac:dyDescent="0.25">
      <c r="A57" s="32" t="s">
        <v>223</v>
      </c>
      <c r="B57" s="32" t="s">
        <v>215</v>
      </c>
      <c r="C57" s="32" t="s">
        <v>221</v>
      </c>
      <c r="D57" s="32">
        <v>2342</v>
      </c>
      <c r="E57" s="33">
        <v>5</v>
      </c>
      <c r="F57" s="33">
        <v>12</v>
      </c>
      <c r="G57" s="33">
        <v>28104</v>
      </c>
      <c r="H57" s="33">
        <v>26698.799999999999</v>
      </c>
      <c r="I57" s="33">
        <v>19672.8</v>
      </c>
      <c r="J57" s="32" t="s">
        <v>242</v>
      </c>
    </row>
    <row r="58" spans="1:10" x14ac:dyDescent="0.25">
      <c r="A58" s="30" t="s">
        <v>216</v>
      </c>
      <c r="B58" s="30" t="s">
        <v>215</v>
      </c>
      <c r="C58" s="30" t="s">
        <v>231</v>
      </c>
      <c r="D58" s="30">
        <v>2116</v>
      </c>
      <c r="E58" s="31">
        <v>10</v>
      </c>
      <c r="F58" s="31">
        <v>15</v>
      </c>
      <c r="G58" s="31">
        <v>31740</v>
      </c>
      <c r="H58" s="31">
        <v>30153</v>
      </c>
      <c r="I58" s="31">
        <v>8993</v>
      </c>
      <c r="J58" s="30" t="s">
        <v>236</v>
      </c>
    </row>
    <row r="59" spans="1:10" x14ac:dyDescent="0.25">
      <c r="A59" s="32" t="s">
        <v>224</v>
      </c>
      <c r="B59" s="32" t="s">
        <v>215</v>
      </c>
      <c r="C59" s="32" t="s">
        <v>237</v>
      </c>
      <c r="D59" s="32">
        <v>807</v>
      </c>
      <c r="E59" s="33">
        <v>120</v>
      </c>
      <c r="F59" s="33">
        <v>125</v>
      </c>
      <c r="G59" s="33">
        <v>100875</v>
      </c>
      <c r="H59" s="33">
        <v>95831.25</v>
      </c>
      <c r="I59" s="33">
        <v>-1008.75</v>
      </c>
      <c r="J59" s="32" t="s">
        <v>232</v>
      </c>
    </row>
    <row r="60" spans="1:10" x14ac:dyDescent="0.25">
      <c r="A60" s="30" t="s">
        <v>226</v>
      </c>
      <c r="B60" s="30" t="s">
        <v>215</v>
      </c>
      <c r="C60" s="30" t="s">
        <v>237</v>
      </c>
      <c r="D60" s="30">
        <v>1250</v>
      </c>
      <c r="E60" s="31">
        <v>120</v>
      </c>
      <c r="F60" s="31">
        <v>300</v>
      </c>
      <c r="G60" s="31">
        <v>375000</v>
      </c>
      <c r="H60" s="31">
        <v>356250</v>
      </c>
      <c r="I60" s="31">
        <v>43750</v>
      </c>
      <c r="J60" s="30" t="s">
        <v>220</v>
      </c>
    </row>
    <row r="61" spans="1:10" x14ac:dyDescent="0.25">
      <c r="A61" s="32" t="s">
        <v>211</v>
      </c>
      <c r="B61" s="32" t="s">
        <v>215</v>
      </c>
      <c r="C61" s="32" t="s">
        <v>238</v>
      </c>
      <c r="D61" s="32">
        <v>2297</v>
      </c>
      <c r="E61" s="33">
        <v>250</v>
      </c>
      <c r="F61" s="33">
        <v>20</v>
      </c>
      <c r="G61" s="33">
        <v>45940</v>
      </c>
      <c r="H61" s="33">
        <v>43643</v>
      </c>
      <c r="I61" s="33">
        <v>20673</v>
      </c>
      <c r="J61" s="32" t="s">
        <v>235</v>
      </c>
    </row>
    <row r="62" spans="1:10" x14ac:dyDescent="0.25">
      <c r="A62" s="30" t="s">
        <v>211</v>
      </c>
      <c r="B62" s="30" t="s">
        <v>215</v>
      </c>
      <c r="C62" s="30" t="s">
        <v>240</v>
      </c>
      <c r="D62" s="30">
        <v>1350</v>
      </c>
      <c r="E62" s="31">
        <v>260</v>
      </c>
      <c r="F62" s="31">
        <v>350</v>
      </c>
      <c r="G62" s="31">
        <v>472500</v>
      </c>
      <c r="H62" s="31">
        <v>448875</v>
      </c>
      <c r="I62" s="31">
        <v>97875</v>
      </c>
      <c r="J62" s="30" t="s">
        <v>232</v>
      </c>
    </row>
    <row r="63" spans="1:10" x14ac:dyDescent="0.25">
      <c r="A63" s="32" t="s">
        <v>226</v>
      </c>
      <c r="B63" s="32" t="s">
        <v>215</v>
      </c>
      <c r="C63" s="32" t="s">
        <v>240</v>
      </c>
      <c r="D63" s="32">
        <v>1250</v>
      </c>
      <c r="E63" s="33">
        <v>260</v>
      </c>
      <c r="F63" s="33">
        <v>300</v>
      </c>
      <c r="G63" s="33">
        <v>375000</v>
      </c>
      <c r="H63" s="33">
        <v>356250</v>
      </c>
      <c r="I63" s="33">
        <v>43750</v>
      </c>
      <c r="J63" s="32" t="s">
        <v>220</v>
      </c>
    </row>
    <row r="64" spans="1:10" x14ac:dyDescent="0.25">
      <c r="A64" s="30" t="s">
        <v>224</v>
      </c>
      <c r="B64" s="30" t="s">
        <v>215</v>
      </c>
      <c r="C64" s="30" t="s">
        <v>213</v>
      </c>
      <c r="D64" s="30">
        <v>887</v>
      </c>
      <c r="E64" s="31">
        <v>3</v>
      </c>
      <c r="F64" s="31">
        <v>125</v>
      </c>
      <c r="G64" s="31">
        <v>110875</v>
      </c>
      <c r="H64" s="31">
        <v>104222.5</v>
      </c>
      <c r="I64" s="31">
        <v>-2217.5</v>
      </c>
      <c r="J64" s="30" t="s">
        <v>236</v>
      </c>
    </row>
    <row r="65" spans="1:10" x14ac:dyDescent="0.25">
      <c r="A65" s="32" t="s">
        <v>211</v>
      </c>
      <c r="B65" s="32" t="s">
        <v>215</v>
      </c>
      <c r="C65" s="32" t="s">
        <v>221</v>
      </c>
      <c r="D65" s="32">
        <v>1460</v>
      </c>
      <c r="E65" s="33">
        <v>5</v>
      </c>
      <c r="F65" s="33">
        <v>350</v>
      </c>
      <c r="G65" s="33">
        <v>511000</v>
      </c>
      <c r="H65" s="33">
        <v>480340</v>
      </c>
      <c r="I65" s="33">
        <v>100740</v>
      </c>
      <c r="J65" s="32" t="s">
        <v>241</v>
      </c>
    </row>
    <row r="66" spans="1:10" x14ac:dyDescent="0.25">
      <c r="A66" s="30" t="s">
        <v>216</v>
      </c>
      <c r="B66" s="30" t="s">
        <v>215</v>
      </c>
      <c r="C66" s="30" t="s">
        <v>237</v>
      </c>
      <c r="D66" s="30">
        <v>1530</v>
      </c>
      <c r="E66" s="31">
        <v>120</v>
      </c>
      <c r="F66" s="31">
        <v>15</v>
      </c>
      <c r="G66" s="31">
        <v>22950</v>
      </c>
      <c r="H66" s="31">
        <v>21573</v>
      </c>
      <c r="I66" s="31">
        <v>6273</v>
      </c>
      <c r="J66" s="30" t="s">
        <v>241</v>
      </c>
    </row>
    <row r="67" spans="1:10" x14ac:dyDescent="0.25">
      <c r="A67" s="32" t="s">
        <v>216</v>
      </c>
      <c r="B67" s="32" t="s">
        <v>215</v>
      </c>
      <c r="C67" s="32" t="s">
        <v>231</v>
      </c>
      <c r="D67" s="32">
        <v>1743</v>
      </c>
      <c r="E67" s="33">
        <v>10</v>
      </c>
      <c r="F67" s="33">
        <v>15</v>
      </c>
      <c r="G67" s="33">
        <v>26145</v>
      </c>
      <c r="H67" s="33">
        <v>24576.3</v>
      </c>
      <c r="I67" s="33">
        <v>7146.2999999999993</v>
      </c>
      <c r="J67" s="32" t="s">
        <v>227</v>
      </c>
    </row>
    <row r="68" spans="1:10" x14ac:dyDescent="0.25">
      <c r="A68" s="30" t="s">
        <v>211</v>
      </c>
      <c r="B68" s="30" t="s">
        <v>215</v>
      </c>
      <c r="C68" s="30" t="s">
        <v>237</v>
      </c>
      <c r="D68" s="30">
        <v>1001</v>
      </c>
      <c r="E68" s="31">
        <v>120</v>
      </c>
      <c r="F68" s="31">
        <v>20</v>
      </c>
      <c r="G68" s="31">
        <v>20020</v>
      </c>
      <c r="H68" s="31">
        <v>18818.8</v>
      </c>
      <c r="I68" s="31">
        <v>8808.7999999999993</v>
      </c>
      <c r="J68" s="30" t="s">
        <v>227</v>
      </c>
    </row>
    <row r="69" spans="1:10" x14ac:dyDescent="0.25">
      <c r="A69" s="32" t="s">
        <v>223</v>
      </c>
      <c r="B69" s="32" t="s">
        <v>215</v>
      </c>
      <c r="C69" s="32" t="s">
        <v>238</v>
      </c>
      <c r="D69" s="32">
        <v>2215</v>
      </c>
      <c r="E69" s="33">
        <v>250</v>
      </c>
      <c r="F69" s="33">
        <v>12</v>
      </c>
      <c r="G69" s="33">
        <v>26580</v>
      </c>
      <c r="H69" s="33">
        <v>24719.4</v>
      </c>
      <c r="I69" s="33">
        <v>18074.400000000001</v>
      </c>
      <c r="J69" s="32" t="s">
        <v>233</v>
      </c>
    </row>
    <row r="70" spans="1:10" x14ac:dyDescent="0.25">
      <c r="A70" s="30" t="s">
        <v>224</v>
      </c>
      <c r="B70" s="30" t="s">
        <v>215</v>
      </c>
      <c r="C70" s="30" t="s">
        <v>221</v>
      </c>
      <c r="D70" s="30">
        <v>2500</v>
      </c>
      <c r="E70" s="31">
        <v>5</v>
      </c>
      <c r="F70" s="31">
        <v>125</v>
      </c>
      <c r="G70" s="31">
        <v>312500</v>
      </c>
      <c r="H70" s="31">
        <v>290625</v>
      </c>
      <c r="I70" s="31">
        <v>-9375</v>
      </c>
      <c r="J70" s="30" t="s">
        <v>235</v>
      </c>
    </row>
    <row r="71" spans="1:10" x14ac:dyDescent="0.25">
      <c r="A71" s="32" t="s">
        <v>224</v>
      </c>
      <c r="B71" s="32" t="s">
        <v>215</v>
      </c>
      <c r="C71" s="32" t="s">
        <v>231</v>
      </c>
      <c r="D71" s="32">
        <v>3513</v>
      </c>
      <c r="E71" s="33">
        <v>10</v>
      </c>
      <c r="F71" s="33">
        <v>125</v>
      </c>
      <c r="G71" s="33">
        <v>439125</v>
      </c>
      <c r="H71" s="33">
        <v>408386.25</v>
      </c>
      <c r="I71" s="33">
        <v>-13173.75</v>
      </c>
      <c r="J71" s="32" t="s">
        <v>225</v>
      </c>
    </row>
    <row r="72" spans="1:10" x14ac:dyDescent="0.25">
      <c r="A72" s="30" t="s">
        <v>226</v>
      </c>
      <c r="B72" s="30" t="s">
        <v>215</v>
      </c>
      <c r="C72" s="30" t="s">
        <v>231</v>
      </c>
      <c r="D72" s="30">
        <v>1123</v>
      </c>
      <c r="E72" s="31">
        <v>10</v>
      </c>
      <c r="F72" s="31">
        <v>300</v>
      </c>
      <c r="G72" s="31">
        <v>336900</v>
      </c>
      <c r="H72" s="31">
        <v>313317</v>
      </c>
      <c r="I72" s="31">
        <v>32567</v>
      </c>
      <c r="J72" s="30" t="s">
        <v>233</v>
      </c>
    </row>
    <row r="73" spans="1:10" x14ac:dyDescent="0.25">
      <c r="A73" s="32" t="s">
        <v>211</v>
      </c>
      <c r="B73" s="32" t="s">
        <v>215</v>
      </c>
      <c r="C73" s="32" t="s">
        <v>231</v>
      </c>
      <c r="D73" s="32">
        <v>2125</v>
      </c>
      <c r="E73" s="33">
        <v>10</v>
      </c>
      <c r="F73" s="33">
        <v>7</v>
      </c>
      <c r="G73" s="33">
        <v>14875</v>
      </c>
      <c r="H73" s="33">
        <v>13833.75</v>
      </c>
      <c r="I73" s="33">
        <v>3208.75</v>
      </c>
      <c r="J73" s="32" t="s">
        <v>236</v>
      </c>
    </row>
    <row r="74" spans="1:10" x14ac:dyDescent="0.25">
      <c r="A74" s="30" t="s">
        <v>224</v>
      </c>
      <c r="B74" s="30" t="s">
        <v>215</v>
      </c>
      <c r="C74" s="30" t="s">
        <v>237</v>
      </c>
      <c r="D74" s="30">
        <v>2087</v>
      </c>
      <c r="E74" s="31">
        <v>120</v>
      </c>
      <c r="F74" s="31">
        <v>125</v>
      </c>
      <c r="G74" s="31">
        <v>260875</v>
      </c>
      <c r="H74" s="31">
        <v>242613.75</v>
      </c>
      <c r="I74" s="31">
        <v>-7826.25</v>
      </c>
      <c r="J74" s="30" t="s">
        <v>228</v>
      </c>
    </row>
    <row r="75" spans="1:10" x14ac:dyDescent="0.25">
      <c r="A75" s="32" t="s">
        <v>211</v>
      </c>
      <c r="B75" s="32" t="s">
        <v>215</v>
      </c>
      <c r="C75" s="32" t="s">
        <v>237</v>
      </c>
      <c r="D75" s="32">
        <v>588</v>
      </c>
      <c r="E75" s="33">
        <v>120</v>
      </c>
      <c r="F75" s="33">
        <v>20</v>
      </c>
      <c r="G75" s="33">
        <v>11760</v>
      </c>
      <c r="H75" s="33">
        <v>10936.8</v>
      </c>
      <c r="I75" s="33">
        <v>5056.7999999999993</v>
      </c>
      <c r="J75" s="32" t="s">
        <v>236</v>
      </c>
    </row>
    <row r="76" spans="1:10" x14ac:dyDescent="0.25">
      <c r="A76" s="30" t="s">
        <v>224</v>
      </c>
      <c r="B76" s="30" t="s">
        <v>215</v>
      </c>
      <c r="C76" s="30" t="s">
        <v>240</v>
      </c>
      <c r="D76" s="30">
        <v>994</v>
      </c>
      <c r="E76" s="31">
        <v>260</v>
      </c>
      <c r="F76" s="31">
        <v>125</v>
      </c>
      <c r="G76" s="31">
        <v>124250</v>
      </c>
      <c r="H76" s="31">
        <v>115552.5</v>
      </c>
      <c r="I76" s="31">
        <v>-3727.5</v>
      </c>
      <c r="J76" s="30" t="s">
        <v>233</v>
      </c>
    </row>
    <row r="77" spans="1:10" x14ac:dyDescent="0.25">
      <c r="A77" s="32" t="s">
        <v>211</v>
      </c>
      <c r="B77" s="32" t="s">
        <v>215</v>
      </c>
      <c r="C77" s="32" t="s">
        <v>221</v>
      </c>
      <c r="D77" s="32">
        <v>645</v>
      </c>
      <c r="E77" s="33">
        <v>5</v>
      </c>
      <c r="F77" s="33">
        <v>20</v>
      </c>
      <c r="G77" s="33">
        <v>12900</v>
      </c>
      <c r="H77" s="33">
        <v>11868</v>
      </c>
      <c r="I77" s="33">
        <v>5418</v>
      </c>
      <c r="J77" s="32" t="s">
        <v>225</v>
      </c>
    </row>
    <row r="78" spans="1:10" x14ac:dyDescent="0.25">
      <c r="A78" s="30" t="s">
        <v>216</v>
      </c>
      <c r="B78" s="30" t="s">
        <v>215</v>
      </c>
      <c r="C78" s="30" t="s">
        <v>221</v>
      </c>
      <c r="D78" s="30">
        <v>711</v>
      </c>
      <c r="E78" s="31">
        <v>5</v>
      </c>
      <c r="F78" s="31">
        <v>15</v>
      </c>
      <c r="G78" s="31">
        <v>10665</v>
      </c>
      <c r="H78" s="31">
        <v>9811.7999999999993</v>
      </c>
      <c r="I78" s="31">
        <v>2701.7999999999993</v>
      </c>
      <c r="J78" s="30" t="s">
        <v>220</v>
      </c>
    </row>
    <row r="79" spans="1:10" x14ac:dyDescent="0.25">
      <c r="A79" s="32" t="s">
        <v>211</v>
      </c>
      <c r="B79" s="32" t="s">
        <v>215</v>
      </c>
      <c r="C79" s="32" t="s">
        <v>231</v>
      </c>
      <c r="D79" s="32">
        <v>1259</v>
      </c>
      <c r="E79" s="33">
        <v>10</v>
      </c>
      <c r="F79" s="33">
        <v>7</v>
      </c>
      <c r="G79" s="33">
        <v>8813</v>
      </c>
      <c r="H79" s="33">
        <v>8107.96</v>
      </c>
      <c r="I79" s="33">
        <v>1812.96</v>
      </c>
      <c r="J79" s="32" t="s">
        <v>239</v>
      </c>
    </row>
    <row r="80" spans="1:10" x14ac:dyDescent="0.25">
      <c r="A80" s="30" t="s">
        <v>211</v>
      </c>
      <c r="B80" s="30" t="s">
        <v>215</v>
      </c>
      <c r="C80" s="30" t="s">
        <v>231</v>
      </c>
      <c r="D80" s="30">
        <v>1095</v>
      </c>
      <c r="E80" s="31">
        <v>10</v>
      </c>
      <c r="F80" s="31">
        <v>7</v>
      </c>
      <c r="G80" s="31">
        <v>7665</v>
      </c>
      <c r="H80" s="31">
        <v>7051.8</v>
      </c>
      <c r="I80" s="31">
        <v>1576.8000000000002</v>
      </c>
      <c r="J80" s="30" t="s">
        <v>241</v>
      </c>
    </row>
    <row r="81" spans="1:10" x14ac:dyDescent="0.25">
      <c r="A81" s="32" t="s">
        <v>211</v>
      </c>
      <c r="B81" s="32" t="s">
        <v>215</v>
      </c>
      <c r="C81" s="32" t="s">
        <v>231</v>
      </c>
      <c r="D81" s="32">
        <v>1366</v>
      </c>
      <c r="E81" s="33">
        <v>10</v>
      </c>
      <c r="F81" s="33">
        <v>20</v>
      </c>
      <c r="G81" s="33">
        <v>27320</v>
      </c>
      <c r="H81" s="33">
        <v>25134.400000000001</v>
      </c>
      <c r="I81" s="33">
        <v>11474.400000000001</v>
      </c>
      <c r="J81" s="32" t="s">
        <v>218</v>
      </c>
    </row>
    <row r="82" spans="1:10" x14ac:dyDescent="0.25">
      <c r="A82" s="30" t="s">
        <v>211</v>
      </c>
      <c r="B82" s="30" t="s">
        <v>215</v>
      </c>
      <c r="C82" s="30" t="s">
        <v>231</v>
      </c>
      <c r="D82" s="30">
        <v>1598</v>
      </c>
      <c r="E82" s="31">
        <v>10</v>
      </c>
      <c r="F82" s="31">
        <v>7</v>
      </c>
      <c r="G82" s="31">
        <v>11186</v>
      </c>
      <c r="H82" s="31">
        <v>10291.120000000001</v>
      </c>
      <c r="I82" s="31">
        <v>2301.1200000000008</v>
      </c>
      <c r="J82" s="30" t="s">
        <v>227</v>
      </c>
    </row>
    <row r="83" spans="1:10" x14ac:dyDescent="0.25">
      <c r="A83" s="32" t="s">
        <v>211</v>
      </c>
      <c r="B83" s="32" t="s">
        <v>215</v>
      </c>
      <c r="C83" s="32" t="s">
        <v>231</v>
      </c>
      <c r="D83" s="32">
        <v>2409</v>
      </c>
      <c r="E83" s="33">
        <v>10</v>
      </c>
      <c r="F83" s="33">
        <v>7</v>
      </c>
      <c r="G83" s="33">
        <v>16863</v>
      </c>
      <c r="H83" s="33">
        <v>15513.96</v>
      </c>
      <c r="I83" s="33">
        <v>3468.9599999999991</v>
      </c>
      <c r="J83" s="32" t="s">
        <v>233</v>
      </c>
    </row>
    <row r="84" spans="1:10" x14ac:dyDescent="0.25">
      <c r="A84" s="30" t="s">
        <v>211</v>
      </c>
      <c r="B84" s="30" t="s">
        <v>215</v>
      </c>
      <c r="C84" s="30" t="s">
        <v>231</v>
      </c>
      <c r="D84" s="30">
        <v>1934</v>
      </c>
      <c r="E84" s="31">
        <v>10</v>
      </c>
      <c r="F84" s="31">
        <v>20</v>
      </c>
      <c r="G84" s="31">
        <v>38680</v>
      </c>
      <c r="H84" s="31">
        <v>35585.599999999999</v>
      </c>
      <c r="I84" s="31">
        <v>16245.599999999999</v>
      </c>
      <c r="J84" s="30" t="s">
        <v>228</v>
      </c>
    </row>
    <row r="85" spans="1:10" x14ac:dyDescent="0.25">
      <c r="A85" s="32" t="s">
        <v>211</v>
      </c>
      <c r="B85" s="32" t="s">
        <v>215</v>
      </c>
      <c r="C85" s="32" t="s">
        <v>231</v>
      </c>
      <c r="D85" s="32">
        <v>2146</v>
      </c>
      <c r="E85" s="33">
        <v>10</v>
      </c>
      <c r="F85" s="33">
        <v>350</v>
      </c>
      <c r="G85" s="33">
        <v>751100</v>
      </c>
      <c r="H85" s="33">
        <v>691012</v>
      </c>
      <c r="I85" s="33">
        <v>133052</v>
      </c>
      <c r="J85" s="32" t="s">
        <v>235</v>
      </c>
    </row>
    <row r="86" spans="1:10" x14ac:dyDescent="0.25">
      <c r="A86" s="30" t="s">
        <v>211</v>
      </c>
      <c r="B86" s="30" t="s">
        <v>215</v>
      </c>
      <c r="C86" s="30" t="s">
        <v>237</v>
      </c>
      <c r="D86" s="30">
        <v>2338</v>
      </c>
      <c r="E86" s="31">
        <v>120</v>
      </c>
      <c r="F86" s="31">
        <v>7</v>
      </c>
      <c r="G86" s="31">
        <v>16366</v>
      </c>
      <c r="H86" s="31">
        <v>15056.72</v>
      </c>
      <c r="I86" s="31">
        <v>3366.7199999999993</v>
      </c>
      <c r="J86" s="30" t="s">
        <v>218</v>
      </c>
    </row>
    <row r="87" spans="1:10" x14ac:dyDescent="0.25">
      <c r="A87" s="32" t="s">
        <v>211</v>
      </c>
      <c r="B87" s="32" t="s">
        <v>215</v>
      </c>
      <c r="C87" s="32" t="s">
        <v>238</v>
      </c>
      <c r="D87" s="32">
        <v>2338</v>
      </c>
      <c r="E87" s="33">
        <v>250</v>
      </c>
      <c r="F87" s="33">
        <v>7</v>
      </c>
      <c r="G87" s="33">
        <v>16366</v>
      </c>
      <c r="H87" s="33">
        <v>15056.72</v>
      </c>
      <c r="I87" s="33">
        <v>3366.7199999999993</v>
      </c>
      <c r="J87" s="32" t="s">
        <v>218</v>
      </c>
    </row>
    <row r="88" spans="1:10" x14ac:dyDescent="0.25">
      <c r="A88" s="30" t="s">
        <v>211</v>
      </c>
      <c r="B88" s="30" t="s">
        <v>215</v>
      </c>
      <c r="C88" s="30" t="s">
        <v>238</v>
      </c>
      <c r="D88" s="30">
        <v>422</v>
      </c>
      <c r="E88" s="31">
        <v>250</v>
      </c>
      <c r="F88" s="31">
        <v>350</v>
      </c>
      <c r="G88" s="31">
        <v>147700</v>
      </c>
      <c r="H88" s="31">
        <v>135884</v>
      </c>
      <c r="I88" s="31">
        <v>26164</v>
      </c>
      <c r="J88" s="30" t="s">
        <v>227</v>
      </c>
    </row>
    <row r="89" spans="1:10" x14ac:dyDescent="0.25">
      <c r="A89" s="32" t="s">
        <v>211</v>
      </c>
      <c r="B89" s="32" t="s">
        <v>215</v>
      </c>
      <c r="C89" s="32" t="s">
        <v>240</v>
      </c>
      <c r="D89" s="32">
        <v>1366</v>
      </c>
      <c r="E89" s="33">
        <v>260</v>
      </c>
      <c r="F89" s="33">
        <v>20</v>
      </c>
      <c r="G89" s="33">
        <v>27320</v>
      </c>
      <c r="H89" s="33">
        <v>25134.400000000001</v>
      </c>
      <c r="I89" s="33">
        <v>11474.400000000001</v>
      </c>
      <c r="J89" s="32" t="s">
        <v>218</v>
      </c>
    </row>
    <row r="90" spans="1:10" x14ac:dyDescent="0.25">
      <c r="A90" s="30" t="s">
        <v>211</v>
      </c>
      <c r="B90" s="30" t="s">
        <v>215</v>
      </c>
      <c r="C90" s="30" t="s">
        <v>240</v>
      </c>
      <c r="D90" s="30">
        <v>1520</v>
      </c>
      <c r="E90" s="31">
        <v>260</v>
      </c>
      <c r="F90" s="31">
        <v>20</v>
      </c>
      <c r="G90" s="31">
        <v>30400</v>
      </c>
      <c r="H90" s="31">
        <v>27968</v>
      </c>
      <c r="I90" s="31">
        <v>12768</v>
      </c>
      <c r="J90" s="30" t="s">
        <v>242</v>
      </c>
    </row>
    <row r="91" spans="1:10" x14ac:dyDescent="0.25">
      <c r="A91" s="32" t="s">
        <v>216</v>
      </c>
      <c r="B91" s="32" t="s">
        <v>215</v>
      </c>
      <c r="C91" s="32" t="s">
        <v>240</v>
      </c>
      <c r="D91" s="32">
        <v>711</v>
      </c>
      <c r="E91" s="33">
        <v>260</v>
      </c>
      <c r="F91" s="33">
        <v>15</v>
      </c>
      <c r="G91" s="33">
        <v>10665</v>
      </c>
      <c r="H91" s="33">
        <v>9811.7999999999993</v>
      </c>
      <c r="I91" s="33">
        <v>2701.7999999999993</v>
      </c>
      <c r="J91" s="32" t="s">
        <v>220</v>
      </c>
    </row>
    <row r="92" spans="1:10" x14ac:dyDescent="0.25">
      <c r="A92" s="30" t="s">
        <v>226</v>
      </c>
      <c r="B92" s="30" t="s">
        <v>215</v>
      </c>
      <c r="C92" s="30" t="s">
        <v>221</v>
      </c>
      <c r="D92" s="30">
        <v>334</v>
      </c>
      <c r="E92" s="31">
        <v>5</v>
      </c>
      <c r="F92" s="31">
        <v>300</v>
      </c>
      <c r="G92" s="31">
        <v>100200</v>
      </c>
      <c r="H92" s="31">
        <v>91182</v>
      </c>
      <c r="I92" s="31">
        <v>7682</v>
      </c>
      <c r="J92" s="30" t="s">
        <v>236</v>
      </c>
    </row>
    <row r="93" spans="1:10" x14ac:dyDescent="0.25">
      <c r="A93" s="32" t="s">
        <v>223</v>
      </c>
      <c r="B93" s="32" t="s">
        <v>215</v>
      </c>
      <c r="C93" s="32" t="s">
        <v>231</v>
      </c>
      <c r="D93" s="32">
        <v>1775</v>
      </c>
      <c r="E93" s="33">
        <v>10</v>
      </c>
      <c r="F93" s="33">
        <v>12</v>
      </c>
      <c r="G93" s="33">
        <v>21300</v>
      </c>
      <c r="H93" s="33">
        <v>19383</v>
      </c>
      <c r="I93" s="33">
        <v>14058</v>
      </c>
      <c r="J93" s="32" t="s">
        <v>235</v>
      </c>
    </row>
    <row r="94" spans="1:10" x14ac:dyDescent="0.25">
      <c r="A94" s="30" t="s">
        <v>211</v>
      </c>
      <c r="B94" s="30" t="s">
        <v>215</v>
      </c>
      <c r="C94" s="30" t="s">
        <v>237</v>
      </c>
      <c r="D94" s="30">
        <v>1307</v>
      </c>
      <c r="E94" s="31">
        <v>120</v>
      </c>
      <c r="F94" s="31">
        <v>350</v>
      </c>
      <c r="G94" s="31">
        <v>457450</v>
      </c>
      <c r="H94" s="31">
        <v>416279.5</v>
      </c>
      <c r="I94" s="31">
        <v>76459.5</v>
      </c>
      <c r="J94" s="30" t="s">
        <v>225</v>
      </c>
    </row>
    <row r="95" spans="1:10" x14ac:dyDescent="0.25">
      <c r="A95" s="32" t="s">
        <v>226</v>
      </c>
      <c r="B95" s="32" t="s">
        <v>215</v>
      </c>
      <c r="C95" s="32" t="s">
        <v>238</v>
      </c>
      <c r="D95" s="32">
        <v>2659</v>
      </c>
      <c r="E95" s="33">
        <v>250</v>
      </c>
      <c r="F95" s="33">
        <v>300</v>
      </c>
      <c r="G95" s="33">
        <v>797700</v>
      </c>
      <c r="H95" s="33">
        <v>725907</v>
      </c>
      <c r="I95" s="33">
        <v>61157</v>
      </c>
      <c r="J95" s="32" t="s">
        <v>232</v>
      </c>
    </row>
    <row r="96" spans="1:10" x14ac:dyDescent="0.25">
      <c r="A96" s="30" t="s">
        <v>223</v>
      </c>
      <c r="B96" s="30" t="s">
        <v>215</v>
      </c>
      <c r="C96" s="30" t="s">
        <v>238</v>
      </c>
      <c r="D96" s="30">
        <v>880</v>
      </c>
      <c r="E96" s="31">
        <v>250</v>
      </c>
      <c r="F96" s="31">
        <v>12</v>
      </c>
      <c r="G96" s="31">
        <v>10560</v>
      </c>
      <c r="H96" s="31">
        <v>9609.6</v>
      </c>
      <c r="I96" s="31">
        <v>6969.6</v>
      </c>
      <c r="J96" s="30" t="s">
        <v>241</v>
      </c>
    </row>
    <row r="97" spans="1:10" x14ac:dyDescent="0.25">
      <c r="A97" s="32" t="s">
        <v>216</v>
      </c>
      <c r="B97" s="32" t="s">
        <v>215</v>
      </c>
      <c r="C97" s="32" t="s">
        <v>240</v>
      </c>
      <c r="D97" s="32">
        <v>970</v>
      </c>
      <c r="E97" s="33">
        <v>260</v>
      </c>
      <c r="F97" s="33">
        <v>15</v>
      </c>
      <c r="G97" s="33">
        <v>14550</v>
      </c>
      <c r="H97" s="33">
        <v>13240.5</v>
      </c>
      <c r="I97" s="33">
        <v>3540.5</v>
      </c>
      <c r="J97" s="32" t="s">
        <v>235</v>
      </c>
    </row>
    <row r="98" spans="1:10" x14ac:dyDescent="0.25">
      <c r="A98" s="30" t="s">
        <v>211</v>
      </c>
      <c r="B98" s="30" t="s">
        <v>215</v>
      </c>
      <c r="C98" s="30" t="s">
        <v>213</v>
      </c>
      <c r="D98" s="30">
        <v>663</v>
      </c>
      <c r="E98" s="31">
        <v>3</v>
      </c>
      <c r="F98" s="31">
        <v>20</v>
      </c>
      <c r="G98" s="31">
        <v>13260</v>
      </c>
      <c r="H98" s="31">
        <v>12066.6</v>
      </c>
      <c r="I98" s="31">
        <v>5436.6</v>
      </c>
      <c r="J98" s="30" t="s">
        <v>241</v>
      </c>
    </row>
    <row r="99" spans="1:10" x14ac:dyDescent="0.25">
      <c r="A99" s="32" t="s">
        <v>223</v>
      </c>
      <c r="B99" s="32" t="s">
        <v>215</v>
      </c>
      <c r="C99" s="32" t="s">
        <v>213</v>
      </c>
      <c r="D99" s="32">
        <v>1580</v>
      </c>
      <c r="E99" s="33">
        <v>3</v>
      </c>
      <c r="F99" s="33">
        <v>12</v>
      </c>
      <c r="G99" s="33">
        <v>18960</v>
      </c>
      <c r="H99" s="33">
        <v>17253.599999999999</v>
      </c>
      <c r="I99" s="33">
        <v>12513.599999999999</v>
      </c>
      <c r="J99" s="32" t="s">
        <v>228</v>
      </c>
    </row>
    <row r="100" spans="1:10" x14ac:dyDescent="0.25">
      <c r="A100" s="30" t="s">
        <v>211</v>
      </c>
      <c r="B100" s="30" t="s">
        <v>215</v>
      </c>
      <c r="C100" s="30" t="s">
        <v>231</v>
      </c>
      <c r="D100" s="30">
        <v>360</v>
      </c>
      <c r="E100" s="31">
        <v>10</v>
      </c>
      <c r="F100" s="31">
        <v>7</v>
      </c>
      <c r="G100" s="31">
        <v>2520</v>
      </c>
      <c r="H100" s="31">
        <v>2293.1999999999998</v>
      </c>
      <c r="I100" s="31">
        <v>493.19999999999982</v>
      </c>
      <c r="J100" s="30" t="s">
        <v>234</v>
      </c>
    </row>
    <row r="101" spans="1:10" x14ac:dyDescent="0.25">
      <c r="A101" s="32" t="s">
        <v>211</v>
      </c>
      <c r="B101" s="32" t="s">
        <v>215</v>
      </c>
      <c r="C101" s="32" t="s">
        <v>238</v>
      </c>
      <c r="D101" s="32">
        <v>360</v>
      </c>
      <c r="E101" s="33">
        <v>250</v>
      </c>
      <c r="F101" s="33">
        <v>7</v>
      </c>
      <c r="G101" s="33">
        <v>2520</v>
      </c>
      <c r="H101" s="33">
        <v>2293.1999999999998</v>
      </c>
      <c r="I101" s="33">
        <v>493.19999999999982</v>
      </c>
      <c r="J101" s="32" t="s">
        <v>234</v>
      </c>
    </row>
    <row r="102" spans="1:10" x14ac:dyDescent="0.25">
      <c r="A102" s="30" t="s">
        <v>211</v>
      </c>
      <c r="B102" s="30" t="s">
        <v>215</v>
      </c>
      <c r="C102" s="30" t="s">
        <v>231</v>
      </c>
      <c r="D102" s="30">
        <v>241</v>
      </c>
      <c r="E102" s="31">
        <v>10</v>
      </c>
      <c r="F102" s="31">
        <v>20</v>
      </c>
      <c r="G102" s="31">
        <v>4820</v>
      </c>
      <c r="H102" s="31">
        <v>4338</v>
      </c>
      <c r="I102" s="31">
        <v>1928</v>
      </c>
      <c r="J102" s="30" t="s">
        <v>234</v>
      </c>
    </row>
    <row r="103" spans="1:10" x14ac:dyDescent="0.25">
      <c r="A103" s="32" t="s">
        <v>216</v>
      </c>
      <c r="B103" s="32" t="s">
        <v>215</v>
      </c>
      <c r="C103" s="32" t="s">
        <v>237</v>
      </c>
      <c r="D103" s="32">
        <v>681</v>
      </c>
      <c r="E103" s="33">
        <v>120</v>
      </c>
      <c r="F103" s="33">
        <v>15</v>
      </c>
      <c r="G103" s="33">
        <v>10215</v>
      </c>
      <c r="H103" s="33">
        <v>9193.5</v>
      </c>
      <c r="I103" s="33">
        <v>2383.5</v>
      </c>
      <c r="J103" s="32" t="s">
        <v>214</v>
      </c>
    </row>
    <row r="104" spans="1:10" x14ac:dyDescent="0.25">
      <c r="A104" s="30" t="s">
        <v>216</v>
      </c>
      <c r="B104" s="30" t="s">
        <v>215</v>
      </c>
      <c r="C104" s="30" t="s">
        <v>237</v>
      </c>
      <c r="D104" s="30">
        <v>510</v>
      </c>
      <c r="E104" s="31">
        <v>120</v>
      </c>
      <c r="F104" s="31">
        <v>15</v>
      </c>
      <c r="G104" s="31">
        <v>7650</v>
      </c>
      <c r="H104" s="31">
        <v>6885</v>
      </c>
      <c r="I104" s="31">
        <v>1785</v>
      </c>
      <c r="J104" s="30" t="s">
        <v>239</v>
      </c>
    </row>
    <row r="105" spans="1:10" x14ac:dyDescent="0.25">
      <c r="A105" s="32" t="s">
        <v>211</v>
      </c>
      <c r="B105" s="32" t="s">
        <v>215</v>
      </c>
      <c r="C105" s="32" t="s">
        <v>237</v>
      </c>
      <c r="D105" s="32">
        <v>241</v>
      </c>
      <c r="E105" s="33">
        <v>120</v>
      </c>
      <c r="F105" s="33">
        <v>20</v>
      </c>
      <c r="G105" s="33">
        <v>4820</v>
      </c>
      <c r="H105" s="33">
        <v>4338</v>
      </c>
      <c r="I105" s="33">
        <v>1928</v>
      </c>
      <c r="J105" s="32" t="s">
        <v>234</v>
      </c>
    </row>
    <row r="106" spans="1:10" x14ac:dyDescent="0.25">
      <c r="A106" s="30" t="s">
        <v>211</v>
      </c>
      <c r="B106" s="30" t="s">
        <v>215</v>
      </c>
      <c r="C106" s="30" t="s">
        <v>237</v>
      </c>
      <c r="D106" s="30">
        <v>2665</v>
      </c>
      <c r="E106" s="31">
        <v>120</v>
      </c>
      <c r="F106" s="31">
        <v>7</v>
      </c>
      <c r="G106" s="31">
        <v>18655</v>
      </c>
      <c r="H106" s="31">
        <v>16789.5</v>
      </c>
      <c r="I106" s="31">
        <v>3464.5</v>
      </c>
      <c r="J106" s="30" t="s">
        <v>242</v>
      </c>
    </row>
    <row r="107" spans="1:10" x14ac:dyDescent="0.25">
      <c r="A107" s="32" t="s">
        <v>211</v>
      </c>
      <c r="B107" s="32" t="s">
        <v>215</v>
      </c>
      <c r="C107" s="32" t="s">
        <v>238</v>
      </c>
      <c r="D107" s="32">
        <v>1870</v>
      </c>
      <c r="E107" s="33">
        <v>250</v>
      </c>
      <c r="F107" s="33">
        <v>350</v>
      </c>
      <c r="G107" s="33">
        <v>654500</v>
      </c>
      <c r="H107" s="33">
        <v>589050</v>
      </c>
      <c r="I107" s="33">
        <v>102850</v>
      </c>
      <c r="J107" s="32" t="s">
        <v>236</v>
      </c>
    </row>
    <row r="108" spans="1:10" x14ac:dyDescent="0.25">
      <c r="A108" s="30" t="s">
        <v>223</v>
      </c>
      <c r="B108" s="30" t="s">
        <v>215</v>
      </c>
      <c r="C108" s="30" t="s">
        <v>240</v>
      </c>
      <c r="D108" s="30">
        <v>2574</v>
      </c>
      <c r="E108" s="31">
        <v>260</v>
      </c>
      <c r="F108" s="31">
        <v>12</v>
      </c>
      <c r="G108" s="31">
        <v>30888</v>
      </c>
      <c r="H108" s="31">
        <v>27799.200000000001</v>
      </c>
      <c r="I108" s="31">
        <v>20077.2</v>
      </c>
      <c r="J108" s="30" t="s">
        <v>227</v>
      </c>
    </row>
    <row r="109" spans="1:10" x14ac:dyDescent="0.25">
      <c r="A109" s="32" t="s">
        <v>223</v>
      </c>
      <c r="B109" s="32" t="s">
        <v>215</v>
      </c>
      <c r="C109" s="32" t="s">
        <v>237</v>
      </c>
      <c r="D109" s="32">
        <v>472</v>
      </c>
      <c r="E109" s="33">
        <v>120</v>
      </c>
      <c r="F109" s="33">
        <v>12</v>
      </c>
      <c r="G109" s="33">
        <v>5664</v>
      </c>
      <c r="H109" s="33">
        <v>5040.96</v>
      </c>
      <c r="I109" s="33">
        <v>3624.96</v>
      </c>
      <c r="J109" s="32" t="s">
        <v>234</v>
      </c>
    </row>
    <row r="110" spans="1:10" x14ac:dyDescent="0.25">
      <c r="A110" s="30" t="s">
        <v>223</v>
      </c>
      <c r="B110" s="30" t="s">
        <v>215</v>
      </c>
      <c r="C110" s="30" t="s">
        <v>240</v>
      </c>
      <c r="D110" s="30">
        <v>472</v>
      </c>
      <c r="E110" s="31">
        <v>260</v>
      </c>
      <c r="F110" s="31">
        <v>12</v>
      </c>
      <c r="G110" s="31">
        <v>5664</v>
      </c>
      <c r="H110" s="31">
        <v>5040.96</v>
      </c>
      <c r="I110" s="31">
        <v>3624.96</v>
      </c>
      <c r="J110" s="30" t="s">
        <v>234</v>
      </c>
    </row>
    <row r="111" spans="1:10" x14ac:dyDescent="0.25">
      <c r="A111" s="32" t="s">
        <v>211</v>
      </c>
      <c r="B111" s="32" t="s">
        <v>215</v>
      </c>
      <c r="C111" s="32" t="s">
        <v>213</v>
      </c>
      <c r="D111" s="32">
        <v>792</v>
      </c>
      <c r="E111" s="33">
        <v>3</v>
      </c>
      <c r="F111" s="33">
        <v>350</v>
      </c>
      <c r="G111" s="33">
        <v>277200</v>
      </c>
      <c r="H111" s="33">
        <v>246708</v>
      </c>
      <c r="I111" s="33">
        <v>40788</v>
      </c>
      <c r="J111" s="32" t="s">
        <v>222</v>
      </c>
    </row>
    <row r="112" spans="1:10" x14ac:dyDescent="0.25">
      <c r="A112" s="30" t="s">
        <v>226</v>
      </c>
      <c r="B112" s="30" t="s">
        <v>215</v>
      </c>
      <c r="C112" s="30" t="s">
        <v>213</v>
      </c>
      <c r="D112" s="30">
        <v>2811</v>
      </c>
      <c r="E112" s="31">
        <v>3</v>
      </c>
      <c r="F112" s="31">
        <v>300</v>
      </c>
      <c r="G112" s="31">
        <v>843300</v>
      </c>
      <c r="H112" s="31">
        <v>750537</v>
      </c>
      <c r="I112" s="31">
        <v>47787</v>
      </c>
      <c r="J112" s="30" t="s">
        <v>225</v>
      </c>
    </row>
    <row r="113" spans="1:10" x14ac:dyDescent="0.25">
      <c r="A113" s="32" t="s">
        <v>211</v>
      </c>
      <c r="B113" s="32" t="s">
        <v>215</v>
      </c>
      <c r="C113" s="32" t="s">
        <v>221</v>
      </c>
      <c r="D113" s="32">
        <v>766</v>
      </c>
      <c r="E113" s="33">
        <v>5</v>
      </c>
      <c r="F113" s="33">
        <v>350</v>
      </c>
      <c r="G113" s="33">
        <v>268100</v>
      </c>
      <c r="H113" s="33">
        <v>238609</v>
      </c>
      <c r="I113" s="33">
        <v>39449</v>
      </c>
      <c r="J113" s="32" t="s">
        <v>214</v>
      </c>
    </row>
    <row r="114" spans="1:10" x14ac:dyDescent="0.25">
      <c r="A114" s="30" t="s">
        <v>211</v>
      </c>
      <c r="B114" s="30" t="s">
        <v>215</v>
      </c>
      <c r="C114" s="30" t="s">
        <v>221</v>
      </c>
      <c r="D114" s="30">
        <v>2992</v>
      </c>
      <c r="E114" s="31">
        <v>5</v>
      </c>
      <c r="F114" s="31">
        <v>20</v>
      </c>
      <c r="G114" s="31">
        <v>59840</v>
      </c>
      <c r="H114" s="31">
        <v>53257.599999999999</v>
      </c>
      <c r="I114" s="31">
        <v>23337.599999999999</v>
      </c>
      <c r="J114" s="30" t="s">
        <v>229</v>
      </c>
    </row>
    <row r="115" spans="1:10" x14ac:dyDescent="0.25">
      <c r="A115" s="32" t="s">
        <v>211</v>
      </c>
      <c r="B115" s="32" t="s">
        <v>215</v>
      </c>
      <c r="C115" s="32" t="s">
        <v>231</v>
      </c>
      <c r="D115" s="32">
        <v>2992</v>
      </c>
      <c r="E115" s="33">
        <v>10</v>
      </c>
      <c r="F115" s="33">
        <v>20</v>
      </c>
      <c r="G115" s="33">
        <v>59840</v>
      </c>
      <c r="H115" s="33">
        <v>53257.599999999999</v>
      </c>
      <c r="I115" s="33">
        <v>23337.599999999999</v>
      </c>
      <c r="J115" s="32" t="s">
        <v>229</v>
      </c>
    </row>
    <row r="116" spans="1:10" x14ac:dyDescent="0.25">
      <c r="A116" s="30" t="s">
        <v>224</v>
      </c>
      <c r="B116" s="30" t="s">
        <v>215</v>
      </c>
      <c r="C116" s="30" t="s">
        <v>240</v>
      </c>
      <c r="D116" s="30">
        <v>3165</v>
      </c>
      <c r="E116" s="31">
        <v>260</v>
      </c>
      <c r="F116" s="31">
        <v>125</v>
      </c>
      <c r="G116" s="31">
        <v>395625</v>
      </c>
      <c r="H116" s="31">
        <v>352106.25</v>
      </c>
      <c r="I116" s="31">
        <v>-27693.75</v>
      </c>
      <c r="J116" s="30" t="s">
        <v>214</v>
      </c>
    </row>
    <row r="117" spans="1:10" x14ac:dyDescent="0.25">
      <c r="A117" s="32" t="s">
        <v>226</v>
      </c>
      <c r="B117" s="32" t="s">
        <v>215</v>
      </c>
      <c r="C117" s="32" t="s">
        <v>231</v>
      </c>
      <c r="D117" s="32">
        <v>1359</v>
      </c>
      <c r="E117" s="33">
        <v>10</v>
      </c>
      <c r="F117" s="33">
        <v>300</v>
      </c>
      <c r="G117" s="33">
        <v>407700</v>
      </c>
      <c r="H117" s="33">
        <v>358776</v>
      </c>
      <c r="I117" s="33">
        <v>19026</v>
      </c>
      <c r="J117" s="32" t="s">
        <v>242</v>
      </c>
    </row>
    <row r="118" spans="1:10" x14ac:dyDescent="0.25">
      <c r="A118" s="30" t="s">
        <v>211</v>
      </c>
      <c r="B118" s="30" t="s">
        <v>215</v>
      </c>
      <c r="C118" s="30" t="s">
        <v>231</v>
      </c>
      <c r="D118" s="30">
        <v>1531</v>
      </c>
      <c r="E118" s="31">
        <v>10</v>
      </c>
      <c r="F118" s="31">
        <v>20</v>
      </c>
      <c r="G118" s="31">
        <v>30620</v>
      </c>
      <c r="H118" s="31">
        <v>26945.599999999999</v>
      </c>
      <c r="I118" s="31">
        <v>11635.599999999999</v>
      </c>
      <c r="J118" s="30" t="s">
        <v>220</v>
      </c>
    </row>
    <row r="119" spans="1:10" x14ac:dyDescent="0.25">
      <c r="A119" s="32" t="s">
        <v>211</v>
      </c>
      <c r="B119" s="32" t="s">
        <v>215</v>
      </c>
      <c r="C119" s="32" t="s">
        <v>238</v>
      </c>
      <c r="D119" s="32">
        <v>1531</v>
      </c>
      <c r="E119" s="33">
        <v>250</v>
      </c>
      <c r="F119" s="33">
        <v>20</v>
      </c>
      <c r="G119" s="33">
        <v>30620</v>
      </c>
      <c r="H119" s="33">
        <v>26945.599999999999</v>
      </c>
      <c r="I119" s="33">
        <v>11635.599999999999</v>
      </c>
      <c r="J119" s="32" t="s">
        <v>220</v>
      </c>
    </row>
    <row r="120" spans="1:10" x14ac:dyDescent="0.25">
      <c r="A120" s="30" t="s">
        <v>211</v>
      </c>
      <c r="B120" s="30" t="s">
        <v>215</v>
      </c>
      <c r="C120" s="30" t="s">
        <v>213</v>
      </c>
      <c r="D120" s="30">
        <v>442</v>
      </c>
      <c r="E120" s="31">
        <v>3</v>
      </c>
      <c r="F120" s="31">
        <v>20</v>
      </c>
      <c r="G120" s="31">
        <v>8840</v>
      </c>
      <c r="H120" s="31">
        <v>7690.8</v>
      </c>
      <c r="I120" s="31">
        <v>3270.8</v>
      </c>
      <c r="J120" s="30" t="s">
        <v>233</v>
      </c>
    </row>
    <row r="121" spans="1:10" x14ac:dyDescent="0.25">
      <c r="A121" s="32" t="s">
        <v>226</v>
      </c>
      <c r="B121" s="32" t="s">
        <v>215</v>
      </c>
      <c r="C121" s="32" t="s">
        <v>231</v>
      </c>
      <c r="D121" s="32">
        <v>807</v>
      </c>
      <c r="E121" s="33">
        <v>10</v>
      </c>
      <c r="F121" s="33">
        <v>300</v>
      </c>
      <c r="G121" s="33">
        <v>242100</v>
      </c>
      <c r="H121" s="33">
        <v>210627</v>
      </c>
      <c r="I121" s="33">
        <v>8877</v>
      </c>
      <c r="J121" s="32" t="s">
        <v>214</v>
      </c>
    </row>
    <row r="122" spans="1:10" x14ac:dyDescent="0.25">
      <c r="A122" s="30" t="s">
        <v>211</v>
      </c>
      <c r="B122" s="30" t="s">
        <v>215</v>
      </c>
      <c r="C122" s="30" t="s">
        <v>231</v>
      </c>
      <c r="D122" s="30">
        <v>2708</v>
      </c>
      <c r="E122" s="31">
        <v>10</v>
      </c>
      <c r="F122" s="31">
        <v>20</v>
      </c>
      <c r="G122" s="31">
        <v>54160</v>
      </c>
      <c r="H122" s="31">
        <v>47119.199999999997</v>
      </c>
      <c r="I122" s="31">
        <v>20039.199999999997</v>
      </c>
      <c r="J122" s="30" t="s">
        <v>232</v>
      </c>
    </row>
    <row r="123" spans="1:10" x14ac:dyDescent="0.25">
      <c r="A123" s="32" t="s">
        <v>211</v>
      </c>
      <c r="B123" s="32" t="s">
        <v>215</v>
      </c>
      <c r="C123" s="32" t="s">
        <v>231</v>
      </c>
      <c r="D123" s="32">
        <v>357</v>
      </c>
      <c r="E123" s="33">
        <v>10</v>
      </c>
      <c r="F123" s="33">
        <v>350</v>
      </c>
      <c r="G123" s="33">
        <v>124950</v>
      </c>
      <c r="H123" s="33">
        <v>108706.5</v>
      </c>
      <c r="I123" s="33">
        <v>15886.5</v>
      </c>
      <c r="J123" s="32" t="s">
        <v>242</v>
      </c>
    </row>
    <row r="124" spans="1:10" x14ac:dyDescent="0.25">
      <c r="A124" s="30" t="s">
        <v>223</v>
      </c>
      <c r="B124" s="30" t="s">
        <v>215</v>
      </c>
      <c r="C124" s="30" t="s">
        <v>231</v>
      </c>
      <c r="D124" s="30">
        <v>1013</v>
      </c>
      <c r="E124" s="31">
        <v>10</v>
      </c>
      <c r="F124" s="31">
        <v>12</v>
      </c>
      <c r="G124" s="31">
        <v>12156</v>
      </c>
      <c r="H124" s="31">
        <v>10575.72</v>
      </c>
      <c r="I124" s="31">
        <v>7536.7199999999993</v>
      </c>
      <c r="J124" s="30" t="s">
        <v>220</v>
      </c>
    </row>
    <row r="125" spans="1:10" x14ac:dyDescent="0.25">
      <c r="A125" s="32" t="s">
        <v>216</v>
      </c>
      <c r="B125" s="32" t="s">
        <v>215</v>
      </c>
      <c r="C125" s="32" t="s">
        <v>237</v>
      </c>
      <c r="D125" s="32">
        <v>660</v>
      </c>
      <c r="E125" s="33">
        <v>120</v>
      </c>
      <c r="F125" s="33">
        <v>15</v>
      </c>
      <c r="G125" s="33">
        <v>9900</v>
      </c>
      <c r="H125" s="33">
        <v>8613</v>
      </c>
      <c r="I125" s="33">
        <v>2013</v>
      </c>
      <c r="J125" s="32" t="s">
        <v>233</v>
      </c>
    </row>
    <row r="126" spans="1:10" x14ac:dyDescent="0.25">
      <c r="A126" s="30" t="s">
        <v>223</v>
      </c>
      <c r="B126" s="30" t="s">
        <v>215</v>
      </c>
      <c r="C126" s="30" t="s">
        <v>237</v>
      </c>
      <c r="D126" s="30">
        <v>1013</v>
      </c>
      <c r="E126" s="31">
        <v>120</v>
      </c>
      <c r="F126" s="31">
        <v>12</v>
      </c>
      <c r="G126" s="31">
        <v>12156</v>
      </c>
      <c r="H126" s="31">
        <v>10575.72</v>
      </c>
      <c r="I126" s="31">
        <v>7536.7199999999993</v>
      </c>
      <c r="J126" s="30" t="s">
        <v>220</v>
      </c>
    </row>
    <row r="127" spans="1:10" x14ac:dyDescent="0.25">
      <c r="A127" s="32" t="s">
        <v>223</v>
      </c>
      <c r="B127" s="32" t="s">
        <v>215</v>
      </c>
      <c r="C127" s="32" t="s">
        <v>240</v>
      </c>
      <c r="D127" s="32">
        <v>1770</v>
      </c>
      <c r="E127" s="33">
        <v>260</v>
      </c>
      <c r="F127" s="33">
        <v>12</v>
      </c>
      <c r="G127" s="33">
        <v>21240</v>
      </c>
      <c r="H127" s="33">
        <v>18478.8</v>
      </c>
      <c r="I127" s="33">
        <v>13168.8</v>
      </c>
      <c r="J127" s="32" t="s">
        <v>236</v>
      </c>
    </row>
    <row r="128" spans="1:10" x14ac:dyDescent="0.25">
      <c r="A128" s="30" t="s">
        <v>211</v>
      </c>
      <c r="B128" s="30" t="s">
        <v>215</v>
      </c>
      <c r="C128" s="30" t="s">
        <v>213</v>
      </c>
      <c r="D128" s="30">
        <v>280</v>
      </c>
      <c r="E128" s="31">
        <v>3</v>
      </c>
      <c r="F128" s="31">
        <v>7</v>
      </c>
      <c r="G128" s="31">
        <v>1960</v>
      </c>
      <c r="H128" s="31">
        <v>1685.6</v>
      </c>
      <c r="I128" s="31">
        <v>285.59999999999991</v>
      </c>
      <c r="J128" s="30" t="s">
        <v>220</v>
      </c>
    </row>
    <row r="129" spans="1:10" x14ac:dyDescent="0.25">
      <c r="A129" s="32" t="s">
        <v>216</v>
      </c>
      <c r="B129" s="32" t="s">
        <v>215</v>
      </c>
      <c r="C129" s="32" t="s">
        <v>231</v>
      </c>
      <c r="D129" s="32">
        <v>278</v>
      </c>
      <c r="E129" s="33">
        <v>10</v>
      </c>
      <c r="F129" s="33">
        <v>15</v>
      </c>
      <c r="G129" s="33">
        <v>4170</v>
      </c>
      <c r="H129" s="33">
        <v>3586.2</v>
      </c>
      <c r="I129" s="33">
        <v>806.19999999999982</v>
      </c>
      <c r="J129" s="32" t="s">
        <v>232</v>
      </c>
    </row>
    <row r="130" spans="1:10" x14ac:dyDescent="0.25">
      <c r="A130" s="30" t="s">
        <v>211</v>
      </c>
      <c r="B130" s="30" t="s">
        <v>215</v>
      </c>
      <c r="C130" s="30" t="s">
        <v>238</v>
      </c>
      <c r="D130" s="30">
        <v>280</v>
      </c>
      <c r="E130" s="31">
        <v>250</v>
      </c>
      <c r="F130" s="31">
        <v>7</v>
      </c>
      <c r="G130" s="31">
        <v>1960</v>
      </c>
      <c r="H130" s="31">
        <v>1685.6</v>
      </c>
      <c r="I130" s="31">
        <v>285.59999999999991</v>
      </c>
      <c r="J130" s="30" t="s">
        <v>220</v>
      </c>
    </row>
    <row r="131" spans="1:10" x14ac:dyDescent="0.25">
      <c r="A131" s="32" t="s">
        <v>216</v>
      </c>
      <c r="B131" s="32" t="s">
        <v>215</v>
      </c>
      <c r="C131" s="32" t="s">
        <v>213</v>
      </c>
      <c r="D131" s="32">
        <v>1513</v>
      </c>
      <c r="E131" s="33">
        <v>3</v>
      </c>
      <c r="F131" s="33">
        <v>15</v>
      </c>
      <c r="G131" s="33">
        <v>22695</v>
      </c>
      <c r="H131" s="33">
        <v>19517.7</v>
      </c>
      <c r="I131" s="33">
        <v>4387.7000000000007</v>
      </c>
      <c r="J131" s="32" t="s">
        <v>242</v>
      </c>
    </row>
    <row r="132" spans="1:10" x14ac:dyDescent="0.25">
      <c r="A132" s="30" t="s">
        <v>211</v>
      </c>
      <c r="B132" s="30" t="s">
        <v>215</v>
      </c>
      <c r="C132" s="30" t="s">
        <v>221</v>
      </c>
      <c r="D132" s="30">
        <v>1199</v>
      </c>
      <c r="E132" s="31">
        <v>5</v>
      </c>
      <c r="F132" s="31">
        <v>350</v>
      </c>
      <c r="G132" s="31">
        <v>419650</v>
      </c>
      <c r="H132" s="31">
        <v>360899</v>
      </c>
      <c r="I132" s="31">
        <v>49159</v>
      </c>
      <c r="J132" s="30" t="s">
        <v>239</v>
      </c>
    </row>
    <row r="133" spans="1:10" x14ac:dyDescent="0.25">
      <c r="A133" s="32" t="s">
        <v>226</v>
      </c>
      <c r="B133" s="32" t="s">
        <v>215</v>
      </c>
      <c r="C133" s="32" t="s">
        <v>237</v>
      </c>
      <c r="D133" s="32">
        <v>2536</v>
      </c>
      <c r="E133" s="33">
        <v>120</v>
      </c>
      <c r="F133" s="33">
        <v>300</v>
      </c>
      <c r="G133" s="33">
        <v>760800</v>
      </c>
      <c r="H133" s="33">
        <v>654288</v>
      </c>
      <c r="I133" s="33">
        <v>20288</v>
      </c>
      <c r="J133" s="32" t="s">
        <v>235</v>
      </c>
    </row>
    <row r="134" spans="1:10" x14ac:dyDescent="0.25">
      <c r="A134" s="30" t="s">
        <v>224</v>
      </c>
      <c r="B134" s="30" t="s">
        <v>215</v>
      </c>
      <c r="C134" s="30" t="s">
        <v>213</v>
      </c>
      <c r="D134" s="30">
        <v>2767</v>
      </c>
      <c r="E134" s="31">
        <v>3</v>
      </c>
      <c r="F134" s="31">
        <v>125</v>
      </c>
      <c r="G134" s="31">
        <v>345875</v>
      </c>
      <c r="H134" s="31">
        <v>293993.75</v>
      </c>
      <c r="I134" s="31">
        <v>-38046.25</v>
      </c>
      <c r="J134" s="30" t="s">
        <v>227</v>
      </c>
    </row>
    <row r="135" spans="1:10" x14ac:dyDescent="0.25">
      <c r="A135" s="32" t="s">
        <v>224</v>
      </c>
      <c r="B135" s="32" t="s">
        <v>215</v>
      </c>
      <c r="C135" s="32" t="s">
        <v>213</v>
      </c>
      <c r="D135" s="32">
        <v>1085</v>
      </c>
      <c r="E135" s="33">
        <v>3</v>
      </c>
      <c r="F135" s="33">
        <v>125</v>
      </c>
      <c r="G135" s="33">
        <v>135625</v>
      </c>
      <c r="H135" s="33">
        <v>115281.25</v>
      </c>
      <c r="I135" s="33">
        <v>-14918.75</v>
      </c>
      <c r="J135" s="32" t="s">
        <v>234</v>
      </c>
    </row>
    <row r="136" spans="1:10" x14ac:dyDescent="0.25">
      <c r="A136" s="30" t="s">
        <v>211</v>
      </c>
      <c r="B136" s="30" t="s">
        <v>215</v>
      </c>
      <c r="C136" s="30" t="s">
        <v>231</v>
      </c>
      <c r="D136" s="30">
        <v>1158</v>
      </c>
      <c r="E136" s="31">
        <v>10</v>
      </c>
      <c r="F136" s="31">
        <v>20</v>
      </c>
      <c r="G136" s="31">
        <v>23160</v>
      </c>
      <c r="H136" s="31">
        <v>19686</v>
      </c>
      <c r="I136" s="31">
        <v>8106</v>
      </c>
      <c r="J136" s="30" t="s">
        <v>222</v>
      </c>
    </row>
    <row r="137" spans="1:10" x14ac:dyDescent="0.25">
      <c r="A137" s="32" t="s">
        <v>224</v>
      </c>
      <c r="B137" s="32" t="s">
        <v>215</v>
      </c>
      <c r="C137" s="32" t="s">
        <v>231</v>
      </c>
      <c r="D137" s="32">
        <v>1085</v>
      </c>
      <c r="E137" s="33">
        <v>10</v>
      </c>
      <c r="F137" s="33">
        <v>125</v>
      </c>
      <c r="G137" s="33">
        <v>135625</v>
      </c>
      <c r="H137" s="33">
        <v>115281.25</v>
      </c>
      <c r="I137" s="33">
        <v>-14918.75</v>
      </c>
      <c r="J137" s="32" t="s">
        <v>234</v>
      </c>
    </row>
    <row r="138" spans="1:10" x14ac:dyDescent="0.25">
      <c r="A138" s="30" t="s">
        <v>216</v>
      </c>
      <c r="B138" s="30" t="s">
        <v>215</v>
      </c>
      <c r="C138" s="30" t="s">
        <v>231</v>
      </c>
      <c r="D138" s="30">
        <v>1175</v>
      </c>
      <c r="E138" s="31">
        <v>10</v>
      </c>
      <c r="F138" s="31">
        <v>15</v>
      </c>
      <c r="G138" s="31">
        <v>17625</v>
      </c>
      <c r="H138" s="31">
        <v>14981.25</v>
      </c>
      <c r="I138" s="31">
        <v>3231.25</v>
      </c>
      <c r="J138" s="30" t="s">
        <v>234</v>
      </c>
    </row>
    <row r="139" spans="1:10" x14ac:dyDescent="0.25">
      <c r="A139" s="32" t="s">
        <v>216</v>
      </c>
      <c r="B139" s="32" t="s">
        <v>215</v>
      </c>
      <c r="C139" s="32" t="s">
        <v>238</v>
      </c>
      <c r="D139" s="32">
        <v>492</v>
      </c>
      <c r="E139" s="33">
        <v>250</v>
      </c>
      <c r="F139" s="33">
        <v>15</v>
      </c>
      <c r="G139" s="33">
        <v>7380</v>
      </c>
      <c r="H139" s="33">
        <v>6273</v>
      </c>
      <c r="I139" s="33">
        <v>1353</v>
      </c>
      <c r="J139" s="32" t="s">
        <v>225</v>
      </c>
    </row>
    <row r="140" spans="1:10" x14ac:dyDescent="0.25">
      <c r="A140" s="30" t="s">
        <v>216</v>
      </c>
      <c r="B140" s="30" t="s">
        <v>215</v>
      </c>
      <c r="C140" s="30" t="s">
        <v>238</v>
      </c>
      <c r="D140" s="30">
        <v>1175</v>
      </c>
      <c r="E140" s="31">
        <v>250</v>
      </c>
      <c r="F140" s="31">
        <v>15</v>
      </c>
      <c r="G140" s="31">
        <v>17625</v>
      </c>
      <c r="H140" s="31">
        <v>14981.25</v>
      </c>
      <c r="I140" s="31">
        <v>3231.25</v>
      </c>
      <c r="J140" s="30" t="s">
        <v>234</v>
      </c>
    </row>
    <row r="141" spans="1:10" ht="15.75" thickBot="1" x14ac:dyDescent="0.3">
      <c r="A141" s="34" t="s">
        <v>224</v>
      </c>
      <c r="B141" s="34" t="s">
        <v>215</v>
      </c>
      <c r="C141" s="34" t="s">
        <v>238</v>
      </c>
      <c r="D141" s="34">
        <v>552</v>
      </c>
      <c r="E141" s="35">
        <v>250</v>
      </c>
      <c r="F141" s="35">
        <v>125</v>
      </c>
      <c r="G141" s="35">
        <v>69000</v>
      </c>
      <c r="H141" s="35">
        <v>58650</v>
      </c>
      <c r="I141" s="35">
        <v>-7590</v>
      </c>
      <c r="J141" s="34" t="s">
        <v>242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J141"/>
  <sheetViews>
    <sheetView workbookViewId="0">
      <selection sqref="A1:J141"/>
    </sheetView>
  </sheetViews>
  <sheetFormatPr baseColWidth="10" defaultRowHeight="15" x14ac:dyDescent="0.25"/>
  <cols>
    <col min="1" max="1" width="17.7109375" customWidth="1"/>
    <col min="2" max="2" width="34.28515625" customWidth="1"/>
    <col min="3" max="3" width="22.28515625" bestFit="1" customWidth="1"/>
    <col min="4" max="4" width="20.42578125" bestFit="1" customWidth="1"/>
    <col min="5" max="5" width="21.28515625" customWidth="1"/>
    <col min="6" max="6" width="17" customWidth="1"/>
    <col min="7" max="7" width="14.5703125" customWidth="1"/>
    <col min="8" max="8" width="14.85546875" bestFit="1" customWidth="1"/>
    <col min="9" max="9" width="16" bestFit="1" customWidth="1"/>
  </cols>
  <sheetData>
    <row r="1" spans="1:10" ht="15.75" thickBot="1" x14ac:dyDescent="0.3">
      <c r="A1" s="28" t="s">
        <v>202</v>
      </c>
      <c r="B1" s="28" t="s">
        <v>246</v>
      </c>
      <c r="C1" s="28" t="s">
        <v>203</v>
      </c>
      <c r="D1" s="28" t="s">
        <v>204</v>
      </c>
      <c r="E1" s="29" t="s">
        <v>205</v>
      </c>
      <c r="F1" s="29" t="s">
        <v>206</v>
      </c>
      <c r="G1" s="29" t="s">
        <v>207</v>
      </c>
      <c r="H1" s="29" t="s">
        <v>208</v>
      </c>
      <c r="I1" s="29" t="s">
        <v>209</v>
      </c>
      <c r="J1" s="28" t="s">
        <v>210</v>
      </c>
    </row>
    <row r="2" spans="1:10" x14ac:dyDescent="0.25">
      <c r="A2" s="30" t="s">
        <v>216</v>
      </c>
      <c r="B2" s="30" t="s">
        <v>219</v>
      </c>
      <c r="C2" s="30" t="s">
        <v>213</v>
      </c>
      <c r="D2" s="30">
        <v>2470</v>
      </c>
      <c r="E2" s="31">
        <v>3</v>
      </c>
      <c r="F2" s="31">
        <v>15</v>
      </c>
      <c r="G2" s="31">
        <v>37050</v>
      </c>
      <c r="H2" s="31">
        <v>37050</v>
      </c>
      <c r="I2" s="31">
        <v>12350</v>
      </c>
      <c r="J2" s="30" t="s">
        <v>218</v>
      </c>
    </row>
    <row r="3" spans="1:10" x14ac:dyDescent="0.25">
      <c r="A3" s="32" t="s">
        <v>216</v>
      </c>
      <c r="B3" s="32" t="s">
        <v>219</v>
      </c>
      <c r="C3" s="32" t="s">
        <v>221</v>
      </c>
      <c r="D3" s="32">
        <v>2470</v>
      </c>
      <c r="E3" s="33">
        <v>5</v>
      </c>
      <c r="F3" s="33">
        <v>15</v>
      </c>
      <c r="G3" s="33">
        <v>37050</v>
      </c>
      <c r="H3" s="33">
        <v>37050</v>
      </c>
      <c r="I3" s="33">
        <v>12350</v>
      </c>
      <c r="J3" s="32" t="s">
        <v>218</v>
      </c>
    </row>
    <row r="4" spans="1:10" x14ac:dyDescent="0.25">
      <c r="A4" s="30" t="s">
        <v>226</v>
      </c>
      <c r="B4" s="30" t="s">
        <v>219</v>
      </c>
      <c r="C4" s="30" t="s">
        <v>221</v>
      </c>
      <c r="D4" s="30">
        <v>958</v>
      </c>
      <c r="E4" s="31">
        <v>5</v>
      </c>
      <c r="F4" s="31">
        <v>300</v>
      </c>
      <c r="G4" s="31">
        <v>287400</v>
      </c>
      <c r="H4" s="31">
        <v>287400</v>
      </c>
      <c r="I4" s="31">
        <v>47900</v>
      </c>
      <c r="J4" s="30" t="s">
        <v>227</v>
      </c>
    </row>
    <row r="5" spans="1:10" x14ac:dyDescent="0.25">
      <c r="A5" s="32" t="s">
        <v>216</v>
      </c>
      <c r="B5" s="32" t="s">
        <v>219</v>
      </c>
      <c r="C5" s="32" t="s">
        <v>231</v>
      </c>
      <c r="D5" s="32">
        <v>974</v>
      </c>
      <c r="E5" s="33">
        <v>10</v>
      </c>
      <c r="F5" s="33">
        <v>15</v>
      </c>
      <c r="G5" s="33">
        <v>14610</v>
      </c>
      <c r="H5" s="33">
        <v>14610</v>
      </c>
      <c r="I5" s="33">
        <v>4870</v>
      </c>
      <c r="J5" s="32" t="s">
        <v>232</v>
      </c>
    </row>
    <row r="6" spans="1:10" x14ac:dyDescent="0.25">
      <c r="A6" s="30" t="s">
        <v>211</v>
      </c>
      <c r="B6" s="30" t="s">
        <v>219</v>
      </c>
      <c r="C6" s="30" t="s">
        <v>231</v>
      </c>
      <c r="D6" s="30">
        <v>883</v>
      </c>
      <c r="E6" s="31">
        <v>10</v>
      </c>
      <c r="F6" s="31">
        <v>7</v>
      </c>
      <c r="G6" s="31">
        <v>6181</v>
      </c>
      <c r="H6" s="31">
        <v>6181</v>
      </c>
      <c r="I6" s="31">
        <v>1766</v>
      </c>
      <c r="J6" s="30" t="s">
        <v>227</v>
      </c>
    </row>
    <row r="7" spans="1:10" x14ac:dyDescent="0.25">
      <c r="A7" s="32" t="s">
        <v>226</v>
      </c>
      <c r="B7" s="32" t="s">
        <v>219</v>
      </c>
      <c r="C7" s="32" t="s">
        <v>231</v>
      </c>
      <c r="D7" s="32">
        <v>788</v>
      </c>
      <c r="E7" s="33">
        <v>10</v>
      </c>
      <c r="F7" s="33">
        <v>300</v>
      </c>
      <c r="G7" s="33">
        <v>236400</v>
      </c>
      <c r="H7" s="33">
        <v>236400</v>
      </c>
      <c r="I7" s="33">
        <v>39400</v>
      </c>
      <c r="J7" s="32" t="s">
        <v>233</v>
      </c>
    </row>
    <row r="8" spans="1:10" x14ac:dyDescent="0.25">
      <c r="A8" s="30" t="s">
        <v>216</v>
      </c>
      <c r="B8" s="30" t="s">
        <v>219</v>
      </c>
      <c r="C8" s="30" t="s">
        <v>231</v>
      </c>
      <c r="D8" s="30">
        <v>2472</v>
      </c>
      <c r="E8" s="31">
        <v>10</v>
      </c>
      <c r="F8" s="31">
        <v>15</v>
      </c>
      <c r="G8" s="31">
        <v>37080</v>
      </c>
      <c r="H8" s="31">
        <v>37080</v>
      </c>
      <c r="I8" s="31">
        <v>12360</v>
      </c>
      <c r="J8" s="30" t="s">
        <v>228</v>
      </c>
    </row>
    <row r="9" spans="1:10" x14ac:dyDescent="0.25">
      <c r="A9" s="32" t="s">
        <v>211</v>
      </c>
      <c r="B9" s="32" t="s">
        <v>219</v>
      </c>
      <c r="C9" s="32" t="s">
        <v>237</v>
      </c>
      <c r="D9" s="32">
        <v>1493</v>
      </c>
      <c r="E9" s="33">
        <v>120</v>
      </c>
      <c r="F9" s="33">
        <v>7</v>
      </c>
      <c r="G9" s="33">
        <v>10451</v>
      </c>
      <c r="H9" s="33">
        <v>10451</v>
      </c>
      <c r="I9" s="33">
        <v>2986</v>
      </c>
      <c r="J9" s="32" t="s">
        <v>214</v>
      </c>
    </row>
    <row r="10" spans="1:10" x14ac:dyDescent="0.25">
      <c r="A10" s="30" t="s">
        <v>211</v>
      </c>
      <c r="B10" s="30" t="s">
        <v>219</v>
      </c>
      <c r="C10" s="30" t="s">
        <v>213</v>
      </c>
      <c r="D10" s="30">
        <v>1210</v>
      </c>
      <c r="E10" s="31">
        <v>3</v>
      </c>
      <c r="F10" s="31">
        <v>350</v>
      </c>
      <c r="G10" s="31">
        <v>423500</v>
      </c>
      <c r="H10" s="31">
        <v>419265</v>
      </c>
      <c r="I10" s="31">
        <v>104665</v>
      </c>
      <c r="J10" s="30" t="s">
        <v>222</v>
      </c>
    </row>
    <row r="11" spans="1:10" x14ac:dyDescent="0.25">
      <c r="A11" s="32" t="s">
        <v>226</v>
      </c>
      <c r="B11" s="32" t="s">
        <v>219</v>
      </c>
      <c r="C11" s="32" t="s">
        <v>213</v>
      </c>
      <c r="D11" s="32">
        <v>494</v>
      </c>
      <c r="E11" s="33">
        <v>3</v>
      </c>
      <c r="F11" s="33">
        <v>300</v>
      </c>
      <c r="G11" s="33">
        <v>148200</v>
      </c>
      <c r="H11" s="33">
        <v>146718</v>
      </c>
      <c r="I11" s="33">
        <v>23218</v>
      </c>
      <c r="J11" s="32" t="s">
        <v>229</v>
      </c>
    </row>
    <row r="12" spans="1:10" x14ac:dyDescent="0.25">
      <c r="A12" s="30" t="s">
        <v>211</v>
      </c>
      <c r="B12" s="30" t="s">
        <v>219</v>
      </c>
      <c r="C12" s="30" t="s">
        <v>213</v>
      </c>
      <c r="D12" s="30">
        <v>1397</v>
      </c>
      <c r="E12" s="31">
        <v>3</v>
      </c>
      <c r="F12" s="31">
        <v>350</v>
      </c>
      <c r="G12" s="31">
        <v>488950</v>
      </c>
      <c r="H12" s="31">
        <v>484060.5</v>
      </c>
      <c r="I12" s="31">
        <v>120840.5</v>
      </c>
      <c r="J12" s="30" t="s">
        <v>234</v>
      </c>
    </row>
    <row r="13" spans="1:10" x14ac:dyDescent="0.25">
      <c r="A13" s="32" t="s">
        <v>216</v>
      </c>
      <c r="B13" s="32" t="s">
        <v>219</v>
      </c>
      <c r="C13" s="32" t="s">
        <v>221</v>
      </c>
      <c r="D13" s="32">
        <v>2214</v>
      </c>
      <c r="E13" s="33">
        <v>5</v>
      </c>
      <c r="F13" s="33">
        <v>15</v>
      </c>
      <c r="G13" s="33">
        <v>33210</v>
      </c>
      <c r="H13" s="33">
        <v>32877.9</v>
      </c>
      <c r="I13" s="33">
        <v>10737.900000000001</v>
      </c>
      <c r="J13" s="32" t="s">
        <v>222</v>
      </c>
    </row>
    <row r="14" spans="1:10" x14ac:dyDescent="0.25">
      <c r="A14" s="30" t="s">
        <v>224</v>
      </c>
      <c r="B14" s="30" t="s">
        <v>219</v>
      </c>
      <c r="C14" s="30" t="s">
        <v>231</v>
      </c>
      <c r="D14" s="30">
        <v>1823</v>
      </c>
      <c r="E14" s="31">
        <v>10</v>
      </c>
      <c r="F14" s="31">
        <v>125</v>
      </c>
      <c r="G14" s="31">
        <v>227875</v>
      </c>
      <c r="H14" s="31">
        <v>225596.25</v>
      </c>
      <c r="I14" s="31">
        <v>6836.25</v>
      </c>
      <c r="J14" s="30" t="s">
        <v>225</v>
      </c>
    </row>
    <row r="15" spans="1:10" x14ac:dyDescent="0.25">
      <c r="A15" s="32" t="s">
        <v>211</v>
      </c>
      <c r="B15" s="32" t="s">
        <v>219</v>
      </c>
      <c r="C15" s="32" t="s">
        <v>237</v>
      </c>
      <c r="D15" s="32">
        <v>362</v>
      </c>
      <c r="E15" s="33">
        <v>120</v>
      </c>
      <c r="F15" s="33">
        <v>7</v>
      </c>
      <c r="G15" s="33">
        <v>2534</v>
      </c>
      <c r="H15" s="33">
        <v>2508.66</v>
      </c>
      <c r="I15" s="33">
        <v>698.65999999999985</v>
      </c>
      <c r="J15" s="32" t="s">
        <v>241</v>
      </c>
    </row>
    <row r="16" spans="1:10" x14ac:dyDescent="0.25">
      <c r="A16" s="30" t="s">
        <v>226</v>
      </c>
      <c r="B16" s="30" t="s">
        <v>219</v>
      </c>
      <c r="C16" s="30" t="s">
        <v>238</v>
      </c>
      <c r="D16" s="30">
        <v>494</v>
      </c>
      <c r="E16" s="31">
        <v>250</v>
      </c>
      <c r="F16" s="31">
        <v>300</v>
      </c>
      <c r="G16" s="31">
        <v>148200</v>
      </c>
      <c r="H16" s="31">
        <v>146718</v>
      </c>
      <c r="I16" s="31">
        <v>23218</v>
      </c>
      <c r="J16" s="30" t="s">
        <v>229</v>
      </c>
    </row>
    <row r="17" spans="1:10" x14ac:dyDescent="0.25">
      <c r="A17" s="32" t="s">
        <v>211</v>
      </c>
      <c r="B17" s="32" t="s">
        <v>219</v>
      </c>
      <c r="C17" s="32" t="s">
        <v>238</v>
      </c>
      <c r="D17" s="32">
        <v>1397</v>
      </c>
      <c r="E17" s="33">
        <v>250</v>
      </c>
      <c r="F17" s="33">
        <v>350</v>
      </c>
      <c r="G17" s="33">
        <v>488950</v>
      </c>
      <c r="H17" s="33">
        <v>484060.5</v>
      </c>
      <c r="I17" s="33">
        <v>120840.5</v>
      </c>
      <c r="J17" s="32" t="s">
        <v>234</v>
      </c>
    </row>
    <row r="18" spans="1:10" x14ac:dyDescent="0.25">
      <c r="A18" s="30" t="s">
        <v>223</v>
      </c>
      <c r="B18" s="30" t="s">
        <v>219</v>
      </c>
      <c r="C18" s="30" t="s">
        <v>221</v>
      </c>
      <c r="D18" s="30">
        <v>690</v>
      </c>
      <c r="E18" s="31">
        <v>5</v>
      </c>
      <c r="F18" s="31">
        <v>12</v>
      </c>
      <c r="G18" s="31">
        <v>8280</v>
      </c>
      <c r="H18" s="31">
        <v>8114.4</v>
      </c>
      <c r="I18" s="31">
        <v>6044.4</v>
      </c>
      <c r="J18" s="30" t="s">
        <v>242</v>
      </c>
    </row>
    <row r="19" spans="1:10" x14ac:dyDescent="0.25">
      <c r="A19" s="32" t="s">
        <v>224</v>
      </c>
      <c r="B19" s="32" t="s">
        <v>219</v>
      </c>
      <c r="C19" s="32" t="s">
        <v>221</v>
      </c>
      <c r="D19" s="32">
        <v>1660</v>
      </c>
      <c r="E19" s="33">
        <v>5</v>
      </c>
      <c r="F19" s="33">
        <v>125</v>
      </c>
      <c r="G19" s="33">
        <v>207500</v>
      </c>
      <c r="H19" s="33">
        <v>203350</v>
      </c>
      <c r="I19" s="33">
        <v>4150</v>
      </c>
      <c r="J19" s="32" t="s">
        <v>235</v>
      </c>
    </row>
    <row r="20" spans="1:10" x14ac:dyDescent="0.25">
      <c r="A20" s="30" t="s">
        <v>224</v>
      </c>
      <c r="B20" s="30" t="s">
        <v>219</v>
      </c>
      <c r="C20" s="30" t="s">
        <v>231</v>
      </c>
      <c r="D20" s="30">
        <v>662</v>
      </c>
      <c r="E20" s="31">
        <v>10</v>
      </c>
      <c r="F20" s="31">
        <v>125</v>
      </c>
      <c r="G20" s="31">
        <v>82750</v>
      </c>
      <c r="H20" s="31">
        <v>81095</v>
      </c>
      <c r="I20" s="31">
        <v>1655</v>
      </c>
      <c r="J20" s="30" t="s">
        <v>218</v>
      </c>
    </row>
    <row r="21" spans="1:10" x14ac:dyDescent="0.25">
      <c r="A21" s="32" t="s">
        <v>224</v>
      </c>
      <c r="B21" s="32" t="s">
        <v>219</v>
      </c>
      <c r="C21" s="32" t="s">
        <v>231</v>
      </c>
      <c r="D21" s="32">
        <v>2145</v>
      </c>
      <c r="E21" s="33">
        <v>10</v>
      </c>
      <c r="F21" s="33">
        <v>125</v>
      </c>
      <c r="G21" s="33">
        <v>268125</v>
      </c>
      <c r="H21" s="33">
        <v>262762.5</v>
      </c>
      <c r="I21" s="33">
        <v>5362.5</v>
      </c>
      <c r="J21" s="32" t="s">
        <v>229</v>
      </c>
    </row>
    <row r="22" spans="1:10" x14ac:dyDescent="0.25">
      <c r="A22" s="30" t="s">
        <v>223</v>
      </c>
      <c r="B22" s="30" t="s">
        <v>219</v>
      </c>
      <c r="C22" s="30" t="s">
        <v>231</v>
      </c>
      <c r="D22" s="30">
        <v>1084</v>
      </c>
      <c r="E22" s="31">
        <v>10</v>
      </c>
      <c r="F22" s="31">
        <v>12</v>
      </c>
      <c r="G22" s="31">
        <v>13008</v>
      </c>
      <c r="H22" s="31">
        <v>12747.84</v>
      </c>
      <c r="I22" s="31">
        <v>9495.84</v>
      </c>
      <c r="J22" s="30" t="s">
        <v>220</v>
      </c>
    </row>
    <row r="23" spans="1:10" x14ac:dyDescent="0.25">
      <c r="A23" s="32" t="s">
        <v>224</v>
      </c>
      <c r="B23" s="32" t="s">
        <v>219</v>
      </c>
      <c r="C23" s="32" t="s">
        <v>237</v>
      </c>
      <c r="D23" s="32">
        <v>2145</v>
      </c>
      <c r="E23" s="33">
        <v>120</v>
      </c>
      <c r="F23" s="33">
        <v>125</v>
      </c>
      <c r="G23" s="33">
        <v>268125</v>
      </c>
      <c r="H23" s="33">
        <v>262762.5</v>
      </c>
      <c r="I23" s="33">
        <v>5362.5</v>
      </c>
      <c r="J23" s="32" t="s">
        <v>229</v>
      </c>
    </row>
    <row r="24" spans="1:10" x14ac:dyDescent="0.25">
      <c r="A24" s="30" t="s">
        <v>211</v>
      </c>
      <c r="B24" s="30" t="s">
        <v>219</v>
      </c>
      <c r="C24" s="30" t="s">
        <v>237</v>
      </c>
      <c r="D24" s="30">
        <v>544</v>
      </c>
      <c r="E24" s="31">
        <v>120</v>
      </c>
      <c r="F24" s="31">
        <v>20</v>
      </c>
      <c r="G24" s="31">
        <v>10880</v>
      </c>
      <c r="H24" s="31">
        <v>10662.4</v>
      </c>
      <c r="I24" s="31">
        <v>5222.3999999999996</v>
      </c>
      <c r="J24" s="30" t="s">
        <v>236</v>
      </c>
    </row>
    <row r="25" spans="1:10" x14ac:dyDescent="0.25">
      <c r="A25" s="32" t="s">
        <v>223</v>
      </c>
      <c r="B25" s="32" t="s">
        <v>219</v>
      </c>
      <c r="C25" s="32" t="s">
        <v>237</v>
      </c>
      <c r="D25" s="32">
        <v>1084</v>
      </c>
      <c r="E25" s="33">
        <v>120</v>
      </c>
      <c r="F25" s="33">
        <v>12</v>
      </c>
      <c r="G25" s="33">
        <v>13008</v>
      </c>
      <c r="H25" s="33">
        <v>12747.84</v>
      </c>
      <c r="I25" s="33">
        <v>9495.84</v>
      </c>
      <c r="J25" s="32" t="s">
        <v>220</v>
      </c>
    </row>
    <row r="26" spans="1:10" x14ac:dyDescent="0.25">
      <c r="A26" s="30" t="s">
        <v>224</v>
      </c>
      <c r="B26" s="30" t="s">
        <v>219</v>
      </c>
      <c r="C26" s="30" t="s">
        <v>238</v>
      </c>
      <c r="D26" s="30">
        <v>662</v>
      </c>
      <c r="E26" s="31">
        <v>250</v>
      </c>
      <c r="F26" s="31">
        <v>125</v>
      </c>
      <c r="G26" s="31">
        <v>82750</v>
      </c>
      <c r="H26" s="31">
        <v>81095</v>
      </c>
      <c r="I26" s="31">
        <v>1655</v>
      </c>
      <c r="J26" s="30" t="s">
        <v>218</v>
      </c>
    </row>
    <row r="27" spans="1:10" x14ac:dyDescent="0.25">
      <c r="A27" s="32" t="s">
        <v>211</v>
      </c>
      <c r="B27" s="32" t="s">
        <v>219</v>
      </c>
      <c r="C27" s="32" t="s">
        <v>238</v>
      </c>
      <c r="D27" s="32">
        <v>1940</v>
      </c>
      <c r="E27" s="33">
        <v>250</v>
      </c>
      <c r="F27" s="33">
        <v>350</v>
      </c>
      <c r="G27" s="33">
        <v>679000</v>
      </c>
      <c r="H27" s="33">
        <v>665420</v>
      </c>
      <c r="I27" s="33">
        <v>161020</v>
      </c>
      <c r="J27" s="32" t="s">
        <v>236</v>
      </c>
    </row>
    <row r="28" spans="1:10" x14ac:dyDescent="0.25">
      <c r="A28" s="30" t="s">
        <v>226</v>
      </c>
      <c r="B28" s="30" t="s">
        <v>219</v>
      </c>
      <c r="C28" s="30" t="s">
        <v>240</v>
      </c>
      <c r="D28" s="30">
        <v>1101</v>
      </c>
      <c r="E28" s="31">
        <v>260</v>
      </c>
      <c r="F28" s="31">
        <v>300</v>
      </c>
      <c r="G28" s="31">
        <v>330300</v>
      </c>
      <c r="H28" s="31">
        <v>323694</v>
      </c>
      <c r="I28" s="31">
        <v>48444</v>
      </c>
      <c r="J28" s="30" t="s">
        <v>222</v>
      </c>
    </row>
    <row r="29" spans="1:10" x14ac:dyDescent="0.25">
      <c r="A29" s="32" t="s">
        <v>223</v>
      </c>
      <c r="B29" s="32" t="s">
        <v>219</v>
      </c>
      <c r="C29" s="32" t="s">
        <v>238</v>
      </c>
      <c r="D29" s="32">
        <v>1916</v>
      </c>
      <c r="E29" s="33">
        <v>250</v>
      </c>
      <c r="F29" s="33">
        <v>12</v>
      </c>
      <c r="G29" s="33">
        <v>22992</v>
      </c>
      <c r="H29" s="33">
        <v>22302.240000000002</v>
      </c>
      <c r="I29" s="33">
        <v>16554.240000000002</v>
      </c>
      <c r="J29" s="32" t="s">
        <v>239</v>
      </c>
    </row>
    <row r="30" spans="1:10" x14ac:dyDescent="0.25">
      <c r="A30" s="30" t="s">
        <v>211</v>
      </c>
      <c r="B30" s="30" t="s">
        <v>219</v>
      </c>
      <c r="C30" s="30" t="s">
        <v>238</v>
      </c>
      <c r="D30" s="30">
        <v>1642</v>
      </c>
      <c r="E30" s="31">
        <v>250</v>
      </c>
      <c r="F30" s="31">
        <v>350</v>
      </c>
      <c r="G30" s="31">
        <v>574700</v>
      </c>
      <c r="H30" s="31">
        <v>557459</v>
      </c>
      <c r="I30" s="31">
        <v>130539</v>
      </c>
      <c r="J30" s="30" t="s">
        <v>227</v>
      </c>
    </row>
    <row r="31" spans="1:10" x14ac:dyDescent="0.25">
      <c r="A31" s="32" t="s">
        <v>211</v>
      </c>
      <c r="B31" s="32" t="s">
        <v>219</v>
      </c>
      <c r="C31" s="32" t="s">
        <v>231</v>
      </c>
      <c r="D31" s="32">
        <v>1760</v>
      </c>
      <c r="E31" s="33">
        <v>10</v>
      </c>
      <c r="F31" s="33">
        <v>7</v>
      </c>
      <c r="G31" s="33">
        <v>12320</v>
      </c>
      <c r="H31" s="33">
        <v>11950.4</v>
      </c>
      <c r="I31" s="33">
        <v>3150.3999999999996</v>
      </c>
      <c r="J31" s="32" t="s">
        <v>233</v>
      </c>
    </row>
    <row r="32" spans="1:10" x14ac:dyDescent="0.25">
      <c r="A32" s="30" t="s">
        <v>216</v>
      </c>
      <c r="B32" s="30" t="s">
        <v>219</v>
      </c>
      <c r="C32" s="30" t="s">
        <v>221</v>
      </c>
      <c r="D32" s="30">
        <v>2031</v>
      </c>
      <c r="E32" s="31">
        <v>5</v>
      </c>
      <c r="F32" s="31">
        <v>15</v>
      </c>
      <c r="G32" s="31">
        <v>30465</v>
      </c>
      <c r="H32" s="31">
        <v>29246.400000000001</v>
      </c>
      <c r="I32" s="31">
        <v>8936.4000000000015</v>
      </c>
      <c r="J32" s="30" t="s">
        <v>234</v>
      </c>
    </row>
    <row r="33" spans="1:10" x14ac:dyDescent="0.25">
      <c r="A33" s="32" t="s">
        <v>216</v>
      </c>
      <c r="B33" s="32" t="s">
        <v>219</v>
      </c>
      <c r="C33" s="32" t="s">
        <v>231</v>
      </c>
      <c r="D33" s="32">
        <v>2031</v>
      </c>
      <c r="E33" s="33">
        <v>10</v>
      </c>
      <c r="F33" s="33">
        <v>15</v>
      </c>
      <c r="G33" s="33">
        <v>30465</v>
      </c>
      <c r="H33" s="33">
        <v>29246.400000000001</v>
      </c>
      <c r="I33" s="33">
        <v>8936.4000000000015</v>
      </c>
      <c r="J33" s="32" t="s">
        <v>234</v>
      </c>
    </row>
    <row r="34" spans="1:10" x14ac:dyDescent="0.25">
      <c r="A34" s="30" t="s">
        <v>224</v>
      </c>
      <c r="B34" s="30" t="s">
        <v>219</v>
      </c>
      <c r="C34" s="30" t="s">
        <v>221</v>
      </c>
      <c r="D34" s="30">
        <v>1138</v>
      </c>
      <c r="E34" s="31">
        <v>5</v>
      </c>
      <c r="F34" s="31">
        <v>125</v>
      </c>
      <c r="G34" s="31">
        <v>142250</v>
      </c>
      <c r="H34" s="31">
        <v>136560</v>
      </c>
      <c r="I34" s="31">
        <v>0</v>
      </c>
      <c r="J34" s="30" t="s">
        <v>220</v>
      </c>
    </row>
    <row r="35" spans="1:10" x14ac:dyDescent="0.25">
      <c r="A35" s="32" t="s">
        <v>216</v>
      </c>
      <c r="B35" s="32" t="s">
        <v>219</v>
      </c>
      <c r="C35" s="32" t="s">
        <v>231</v>
      </c>
      <c r="D35" s="32">
        <v>1514</v>
      </c>
      <c r="E35" s="33">
        <v>10</v>
      </c>
      <c r="F35" s="33">
        <v>15</v>
      </c>
      <c r="G35" s="33">
        <v>22710</v>
      </c>
      <c r="H35" s="33">
        <v>21801.599999999999</v>
      </c>
      <c r="I35" s="33">
        <v>6661.5999999999985</v>
      </c>
      <c r="J35" s="32" t="s">
        <v>229</v>
      </c>
    </row>
    <row r="36" spans="1:10" x14ac:dyDescent="0.25">
      <c r="A36" s="30" t="s">
        <v>224</v>
      </c>
      <c r="B36" s="30" t="s">
        <v>219</v>
      </c>
      <c r="C36" s="30" t="s">
        <v>231</v>
      </c>
      <c r="D36" s="30">
        <v>1138</v>
      </c>
      <c r="E36" s="31">
        <v>10</v>
      </c>
      <c r="F36" s="31">
        <v>125</v>
      </c>
      <c r="G36" s="31">
        <v>142250</v>
      </c>
      <c r="H36" s="31">
        <v>136560</v>
      </c>
      <c r="I36" s="31">
        <v>0</v>
      </c>
      <c r="J36" s="30" t="s">
        <v>220</v>
      </c>
    </row>
    <row r="37" spans="1:10" x14ac:dyDescent="0.25">
      <c r="A37" s="32" t="s">
        <v>216</v>
      </c>
      <c r="B37" s="32" t="s">
        <v>219</v>
      </c>
      <c r="C37" s="32" t="s">
        <v>238</v>
      </c>
      <c r="D37" s="32">
        <v>1514</v>
      </c>
      <c r="E37" s="33">
        <v>250</v>
      </c>
      <c r="F37" s="33">
        <v>15</v>
      </c>
      <c r="G37" s="33">
        <v>22710</v>
      </c>
      <c r="H37" s="33">
        <v>21801.599999999999</v>
      </c>
      <c r="I37" s="33">
        <v>6661.5999999999985</v>
      </c>
      <c r="J37" s="32" t="s">
        <v>229</v>
      </c>
    </row>
    <row r="38" spans="1:10" x14ac:dyDescent="0.25">
      <c r="A38" s="30" t="s">
        <v>211</v>
      </c>
      <c r="B38" s="30" t="s">
        <v>219</v>
      </c>
      <c r="C38" s="30" t="s">
        <v>240</v>
      </c>
      <c r="D38" s="30">
        <v>1865</v>
      </c>
      <c r="E38" s="31">
        <v>260</v>
      </c>
      <c r="F38" s="31">
        <v>350</v>
      </c>
      <c r="G38" s="31">
        <v>652750</v>
      </c>
      <c r="H38" s="31">
        <v>626640</v>
      </c>
      <c r="I38" s="31">
        <v>141740</v>
      </c>
      <c r="J38" s="30" t="s">
        <v>232</v>
      </c>
    </row>
    <row r="39" spans="1:10" x14ac:dyDescent="0.25">
      <c r="A39" s="32" t="s">
        <v>224</v>
      </c>
      <c r="B39" s="32" t="s">
        <v>219</v>
      </c>
      <c r="C39" s="32" t="s">
        <v>240</v>
      </c>
      <c r="D39" s="32">
        <v>1074</v>
      </c>
      <c r="E39" s="33">
        <v>260</v>
      </c>
      <c r="F39" s="33">
        <v>125</v>
      </c>
      <c r="G39" s="33">
        <v>134250</v>
      </c>
      <c r="H39" s="33">
        <v>128880</v>
      </c>
      <c r="I39" s="33">
        <v>0</v>
      </c>
      <c r="J39" s="32" t="s">
        <v>239</v>
      </c>
    </row>
    <row r="40" spans="1:10" x14ac:dyDescent="0.25">
      <c r="A40" s="30" t="s">
        <v>211</v>
      </c>
      <c r="B40" s="30" t="s">
        <v>219</v>
      </c>
      <c r="C40" s="30" t="s">
        <v>231</v>
      </c>
      <c r="D40" s="30">
        <v>2689</v>
      </c>
      <c r="E40" s="31">
        <v>10</v>
      </c>
      <c r="F40" s="31">
        <v>7</v>
      </c>
      <c r="G40" s="31">
        <v>18823</v>
      </c>
      <c r="H40" s="31">
        <v>17881.849999999999</v>
      </c>
      <c r="I40" s="31">
        <v>4436.8499999999985</v>
      </c>
      <c r="J40" s="30" t="s">
        <v>234</v>
      </c>
    </row>
    <row r="41" spans="1:10" x14ac:dyDescent="0.25">
      <c r="A41" s="32" t="s">
        <v>211</v>
      </c>
      <c r="B41" s="32" t="s">
        <v>219</v>
      </c>
      <c r="C41" s="32" t="s">
        <v>238</v>
      </c>
      <c r="D41" s="32">
        <v>2689</v>
      </c>
      <c r="E41" s="33">
        <v>250</v>
      </c>
      <c r="F41" s="33">
        <v>7</v>
      </c>
      <c r="G41" s="33">
        <v>18823</v>
      </c>
      <c r="H41" s="33">
        <v>17881.849999999999</v>
      </c>
      <c r="I41" s="33">
        <v>4436.8499999999985</v>
      </c>
      <c r="J41" s="32" t="s">
        <v>234</v>
      </c>
    </row>
    <row r="42" spans="1:10" x14ac:dyDescent="0.25">
      <c r="A42" s="30" t="s">
        <v>211</v>
      </c>
      <c r="B42" s="30" t="s">
        <v>219</v>
      </c>
      <c r="C42" s="30" t="s">
        <v>240</v>
      </c>
      <c r="D42" s="30">
        <v>1683</v>
      </c>
      <c r="E42" s="31">
        <v>260</v>
      </c>
      <c r="F42" s="31">
        <v>7</v>
      </c>
      <c r="G42" s="31">
        <v>11781</v>
      </c>
      <c r="H42" s="31">
        <v>11191.95</v>
      </c>
      <c r="I42" s="31">
        <v>2776.9500000000007</v>
      </c>
      <c r="J42" s="30" t="s">
        <v>225</v>
      </c>
    </row>
    <row r="43" spans="1:10" x14ac:dyDescent="0.25">
      <c r="A43" s="32" t="s">
        <v>223</v>
      </c>
      <c r="B43" s="32" t="s">
        <v>219</v>
      </c>
      <c r="C43" s="32" t="s">
        <v>240</v>
      </c>
      <c r="D43" s="32">
        <v>1123</v>
      </c>
      <c r="E43" s="33">
        <v>260</v>
      </c>
      <c r="F43" s="33">
        <v>12</v>
      </c>
      <c r="G43" s="33">
        <v>13476</v>
      </c>
      <c r="H43" s="33">
        <v>12802.2</v>
      </c>
      <c r="I43" s="33">
        <v>9433.2000000000007</v>
      </c>
      <c r="J43" s="32" t="s">
        <v>227</v>
      </c>
    </row>
    <row r="44" spans="1:10" x14ac:dyDescent="0.25">
      <c r="A44" s="30" t="s">
        <v>216</v>
      </c>
      <c r="B44" s="30" t="s">
        <v>219</v>
      </c>
      <c r="C44" s="30" t="s">
        <v>213</v>
      </c>
      <c r="D44" s="30">
        <v>2791</v>
      </c>
      <c r="E44" s="31">
        <v>3</v>
      </c>
      <c r="F44" s="31">
        <v>15</v>
      </c>
      <c r="G44" s="31">
        <v>41865</v>
      </c>
      <c r="H44" s="31">
        <v>39771.75</v>
      </c>
      <c r="I44" s="31">
        <v>11861.75</v>
      </c>
      <c r="J44" s="30" t="s">
        <v>242</v>
      </c>
    </row>
    <row r="45" spans="1:10" x14ac:dyDescent="0.25">
      <c r="A45" s="32" t="s">
        <v>211</v>
      </c>
      <c r="B45" s="32" t="s">
        <v>219</v>
      </c>
      <c r="C45" s="32" t="s">
        <v>221</v>
      </c>
      <c r="D45" s="32">
        <v>720</v>
      </c>
      <c r="E45" s="33">
        <v>5</v>
      </c>
      <c r="F45" s="33">
        <v>350</v>
      </c>
      <c r="G45" s="33">
        <v>252000</v>
      </c>
      <c r="H45" s="33">
        <v>239400</v>
      </c>
      <c r="I45" s="33">
        <v>52200</v>
      </c>
      <c r="J45" s="32" t="s">
        <v>233</v>
      </c>
    </row>
    <row r="46" spans="1:10" x14ac:dyDescent="0.25">
      <c r="A46" s="30" t="s">
        <v>226</v>
      </c>
      <c r="B46" s="30" t="s">
        <v>219</v>
      </c>
      <c r="C46" s="30" t="s">
        <v>221</v>
      </c>
      <c r="D46" s="30">
        <v>1100</v>
      </c>
      <c r="E46" s="31">
        <v>5</v>
      </c>
      <c r="F46" s="31">
        <v>300</v>
      </c>
      <c r="G46" s="31">
        <v>330000</v>
      </c>
      <c r="H46" s="31">
        <v>313500</v>
      </c>
      <c r="I46" s="31">
        <v>38500</v>
      </c>
      <c r="J46" s="30" t="s">
        <v>236</v>
      </c>
    </row>
    <row r="47" spans="1:10" x14ac:dyDescent="0.25">
      <c r="A47" s="32" t="s">
        <v>226</v>
      </c>
      <c r="B47" s="32" t="s">
        <v>219</v>
      </c>
      <c r="C47" s="32" t="s">
        <v>231</v>
      </c>
      <c r="D47" s="32">
        <v>1607</v>
      </c>
      <c r="E47" s="33">
        <v>10</v>
      </c>
      <c r="F47" s="33">
        <v>300</v>
      </c>
      <c r="G47" s="33">
        <v>482100</v>
      </c>
      <c r="H47" s="33">
        <v>457995</v>
      </c>
      <c r="I47" s="33">
        <v>56245</v>
      </c>
      <c r="J47" s="32" t="s">
        <v>239</v>
      </c>
    </row>
    <row r="48" spans="1:10" x14ac:dyDescent="0.25">
      <c r="A48" s="30" t="s">
        <v>216</v>
      </c>
      <c r="B48" s="30" t="s">
        <v>219</v>
      </c>
      <c r="C48" s="30" t="s">
        <v>237</v>
      </c>
      <c r="D48" s="30">
        <v>2861</v>
      </c>
      <c r="E48" s="31">
        <v>120</v>
      </c>
      <c r="F48" s="31">
        <v>15</v>
      </c>
      <c r="G48" s="31">
        <v>42915</v>
      </c>
      <c r="H48" s="31">
        <v>40769.25</v>
      </c>
      <c r="I48" s="31">
        <v>12159.25</v>
      </c>
      <c r="J48" s="30" t="s">
        <v>214</v>
      </c>
    </row>
    <row r="49" spans="1:10" x14ac:dyDescent="0.25">
      <c r="A49" s="32" t="s">
        <v>223</v>
      </c>
      <c r="B49" s="32" t="s">
        <v>219</v>
      </c>
      <c r="C49" s="32" t="s">
        <v>213</v>
      </c>
      <c r="D49" s="32">
        <v>562</v>
      </c>
      <c r="E49" s="33">
        <v>3</v>
      </c>
      <c r="F49" s="33">
        <v>12</v>
      </c>
      <c r="G49" s="33">
        <v>6744</v>
      </c>
      <c r="H49" s="33">
        <v>6339.36</v>
      </c>
      <c r="I49" s="33">
        <v>4653.3599999999997</v>
      </c>
      <c r="J49" s="32" t="s">
        <v>228</v>
      </c>
    </row>
    <row r="50" spans="1:10" x14ac:dyDescent="0.25">
      <c r="A50" s="30" t="s">
        <v>211</v>
      </c>
      <c r="B50" s="30" t="s">
        <v>219</v>
      </c>
      <c r="C50" s="30" t="s">
        <v>221</v>
      </c>
      <c r="D50" s="30">
        <v>980</v>
      </c>
      <c r="E50" s="31">
        <v>5</v>
      </c>
      <c r="F50" s="31">
        <v>350</v>
      </c>
      <c r="G50" s="31">
        <v>343000</v>
      </c>
      <c r="H50" s="31">
        <v>322420</v>
      </c>
      <c r="I50" s="31">
        <v>67620</v>
      </c>
      <c r="J50" s="30" t="s">
        <v>239</v>
      </c>
    </row>
    <row r="51" spans="1:10" x14ac:dyDescent="0.25">
      <c r="A51" s="32" t="s">
        <v>211</v>
      </c>
      <c r="B51" s="32" t="s">
        <v>219</v>
      </c>
      <c r="C51" s="32" t="s">
        <v>237</v>
      </c>
      <c r="D51" s="32">
        <v>1498</v>
      </c>
      <c r="E51" s="33">
        <v>120</v>
      </c>
      <c r="F51" s="33">
        <v>7</v>
      </c>
      <c r="G51" s="33">
        <v>10486</v>
      </c>
      <c r="H51" s="33">
        <v>9856.84</v>
      </c>
      <c r="I51" s="33">
        <v>2366.84</v>
      </c>
      <c r="J51" s="32" t="s">
        <v>218</v>
      </c>
    </row>
    <row r="52" spans="1:10" x14ac:dyDescent="0.25">
      <c r="A52" s="30" t="s">
        <v>211</v>
      </c>
      <c r="B52" s="30" t="s">
        <v>219</v>
      </c>
      <c r="C52" s="30" t="s">
        <v>238</v>
      </c>
      <c r="D52" s="30">
        <v>1498</v>
      </c>
      <c r="E52" s="31">
        <v>250</v>
      </c>
      <c r="F52" s="31">
        <v>7</v>
      </c>
      <c r="G52" s="31">
        <v>10486</v>
      </c>
      <c r="H52" s="31">
        <v>9856.84</v>
      </c>
      <c r="I52" s="31">
        <v>2366.84</v>
      </c>
      <c r="J52" s="30" t="s">
        <v>218</v>
      </c>
    </row>
    <row r="53" spans="1:10" x14ac:dyDescent="0.25">
      <c r="A53" s="32" t="s">
        <v>211</v>
      </c>
      <c r="B53" s="32" t="s">
        <v>219</v>
      </c>
      <c r="C53" s="32" t="s">
        <v>238</v>
      </c>
      <c r="D53" s="32">
        <v>1123</v>
      </c>
      <c r="E53" s="33">
        <v>250</v>
      </c>
      <c r="F53" s="33">
        <v>20</v>
      </c>
      <c r="G53" s="33">
        <v>22460</v>
      </c>
      <c r="H53" s="33">
        <v>21112.400000000001</v>
      </c>
      <c r="I53" s="33">
        <v>9882.4000000000015</v>
      </c>
      <c r="J53" s="32" t="s">
        <v>235</v>
      </c>
    </row>
    <row r="54" spans="1:10" x14ac:dyDescent="0.25">
      <c r="A54" s="30" t="s">
        <v>211</v>
      </c>
      <c r="B54" s="30" t="s">
        <v>219</v>
      </c>
      <c r="C54" s="30" t="s">
        <v>240</v>
      </c>
      <c r="D54" s="30">
        <v>1679</v>
      </c>
      <c r="E54" s="31">
        <v>260</v>
      </c>
      <c r="F54" s="31">
        <v>350</v>
      </c>
      <c r="G54" s="31">
        <v>587650</v>
      </c>
      <c r="H54" s="31">
        <v>552391</v>
      </c>
      <c r="I54" s="31">
        <v>115851</v>
      </c>
      <c r="J54" s="30" t="s">
        <v>228</v>
      </c>
    </row>
    <row r="55" spans="1:10" x14ac:dyDescent="0.25">
      <c r="A55" s="32" t="s">
        <v>211</v>
      </c>
      <c r="B55" s="32" t="s">
        <v>219</v>
      </c>
      <c r="C55" s="32" t="s">
        <v>237</v>
      </c>
      <c r="D55" s="32">
        <v>1333</v>
      </c>
      <c r="E55" s="33">
        <v>120</v>
      </c>
      <c r="F55" s="33">
        <v>7</v>
      </c>
      <c r="G55" s="33">
        <v>9331</v>
      </c>
      <c r="H55" s="33">
        <v>8771.14</v>
      </c>
      <c r="I55" s="33">
        <v>2106.1399999999994</v>
      </c>
      <c r="J55" s="32" t="s">
        <v>242</v>
      </c>
    </row>
    <row r="56" spans="1:10" x14ac:dyDescent="0.25">
      <c r="A56" s="30" t="s">
        <v>223</v>
      </c>
      <c r="B56" s="30" t="s">
        <v>219</v>
      </c>
      <c r="C56" s="30" t="s">
        <v>213</v>
      </c>
      <c r="D56" s="30">
        <v>727</v>
      </c>
      <c r="E56" s="31">
        <v>3</v>
      </c>
      <c r="F56" s="31">
        <v>12</v>
      </c>
      <c r="G56" s="31">
        <v>8724</v>
      </c>
      <c r="H56" s="31">
        <v>8113.32</v>
      </c>
      <c r="I56" s="31">
        <v>5932.32</v>
      </c>
      <c r="J56" s="30" t="s">
        <v>232</v>
      </c>
    </row>
    <row r="57" spans="1:10" x14ac:dyDescent="0.25">
      <c r="A57" s="32" t="s">
        <v>211</v>
      </c>
      <c r="B57" s="32" t="s">
        <v>219</v>
      </c>
      <c r="C57" s="32" t="s">
        <v>213</v>
      </c>
      <c r="D57" s="32">
        <v>1834</v>
      </c>
      <c r="E57" s="33">
        <v>3</v>
      </c>
      <c r="F57" s="33">
        <v>20</v>
      </c>
      <c r="G57" s="33">
        <v>36680</v>
      </c>
      <c r="H57" s="33">
        <v>34112.400000000001</v>
      </c>
      <c r="I57" s="33">
        <v>15772.400000000001</v>
      </c>
      <c r="J57" s="32" t="s">
        <v>233</v>
      </c>
    </row>
    <row r="58" spans="1:10" x14ac:dyDescent="0.25">
      <c r="A58" s="30" t="s">
        <v>223</v>
      </c>
      <c r="B58" s="30" t="s">
        <v>219</v>
      </c>
      <c r="C58" s="30" t="s">
        <v>221</v>
      </c>
      <c r="D58" s="30">
        <v>2340</v>
      </c>
      <c r="E58" s="31">
        <v>5</v>
      </c>
      <c r="F58" s="31">
        <v>12</v>
      </c>
      <c r="G58" s="31">
        <v>28080</v>
      </c>
      <c r="H58" s="31">
        <v>26114.400000000001</v>
      </c>
      <c r="I58" s="31">
        <v>19094.400000000001</v>
      </c>
      <c r="J58" s="30" t="s">
        <v>214</v>
      </c>
    </row>
    <row r="59" spans="1:10" x14ac:dyDescent="0.25">
      <c r="A59" s="32" t="s">
        <v>223</v>
      </c>
      <c r="B59" s="32" t="s">
        <v>219</v>
      </c>
      <c r="C59" s="32" t="s">
        <v>231</v>
      </c>
      <c r="D59" s="32">
        <v>2763</v>
      </c>
      <c r="E59" s="33">
        <v>10</v>
      </c>
      <c r="F59" s="33">
        <v>12</v>
      </c>
      <c r="G59" s="33">
        <v>33156</v>
      </c>
      <c r="H59" s="33">
        <v>30835.08</v>
      </c>
      <c r="I59" s="33">
        <v>22546.080000000002</v>
      </c>
      <c r="J59" s="32" t="s">
        <v>235</v>
      </c>
    </row>
    <row r="60" spans="1:10" x14ac:dyDescent="0.25">
      <c r="A60" s="30" t="s">
        <v>211</v>
      </c>
      <c r="B60" s="30" t="s">
        <v>219</v>
      </c>
      <c r="C60" s="30" t="s">
        <v>237</v>
      </c>
      <c r="D60" s="30">
        <v>609</v>
      </c>
      <c r="E60" s="31">
        <v>120</v>
      </c>
      <c r="F60" s="31">
        <v>20</v>
      </c>
      <c r="G60" s="31">
        <v>12180</v>
      </c>
      <c r="H60" s="31">
        <v>11327.4</v>
      </c>
      <c r="I60" s="31">
        <v>5237.3999999999996</v>
      </c>
      <c r="J60" s="30" t="s">
        <v>227</v>
      </c>
    </row>
    <row r="61" spans="1:10" x14ac:dyDescent="0.25">
      <c r="A61" s="32" t="s">
        <v>226</v>
      </c>
      <c r="B61" s="32" t="s">
        <v>219</v>
      </c>
      <c r="C61" s="32" t="s">
        <v>238</v>
      </c>
      <c r="D61" s="32">
        <v>2747</v>
      </c>
      <c r="E61" s="33">
        <v>250</v>
      </c>
      <c r="F61" s="33">
        <v>300</v>
      </c>
      <c r="G61" s="33">
        <v>824100</v>
      </c>
      <c r="H61" s="33">
        <v>766413</v>
      </c>
      <c r="I61" s="33">
        <v>79663</v>
      </c>
      <c r="J61" s="32" t="s">
        <v>232</v>
      </c>
    </row>
    <row r="62" spans="1:10" x14ac:dyDescent="0.25">
      <c r="A62" s="30" t="s">
        <v>224</v>
      </c>
      <c r="B62" s="30" t="s">
        <v>219</v>
      </c>
      <c r="C62" s="30" t="s">
        <v>213</v>
      </c>
      <c r="D62" s="30">
        <v>1540</v>
      </c>
      <c r="E62" s="31">
        <v>3</v>
      </c>
      <c r="F62" s="31">
        <v>125</v>
      </c>
      <c r="G62" s="31">
        <v>192500</v>
      </c>
      <c r="H62" s="31">
        <v>177100</v>
      </c>
      <c r="I62" s="31">
        <v>-7700</v>
      </c>
      <c r="J62" s="30" t="s">
        <v>227</v>
      </c>
    </row>
    <row r="63" spans="1:10" x14ac:dyDescent="0.25">
      <c r="A63" s="32" t="s">
        <v>211</v>
      </c>
      <c r="B63" s="32" t="s">
        <v>219</v>
      </c>
      <c r="C63" s="32" t="s">
        <v>213</v>
      </c>
      <c r="D63" s="32">
        <v>1362</v>
      </c>
      <c r="E63" s="33">
        <v>3</v>
      </c>
      <c r="F63" s="33">
        <v>350</v>
      </c>
      <c r="G63" s="33">
        <v>476700</v>
      </c>
      <c r="H63" s="33">
        <v>438564</v>
      </c>
      <c r="I63" s="33">
        <v>84444</v>
      </c>
      <c r="J63" s="32" t="s">
        <v>220</v>
      </c>
    </row>
    <row r="64" spans="1:10" x14ac:dyDescent="0.25">
      <c r="A64" s="30" t="s">
        <v>224</v>
      </c>
      <c r="B64" s="30" t="s">
        <v>219</v>
      </c>
      <c r="C64" s="30" t="s">
        <v>231</v>
      </c>
      <c r="D64" s="30">
        <v>1114</v>
      </c>
      <c r="E64" s="31">
        <v>10</v>
      </c>
      <c r="F64" s="31">
        <v>125</v>
      </c>
      <c r="G64" s="31">
        <v>139250</v>
      </c>
      <c r="H64" s="31">
        <v>128110</v>
      </c>
      <c r="I64" s="31">
        <v>-5570</v>
      </c>
      <c r="J64" s="30" t="s">
        <v>222</v>
      </c>
    </row>
    <row r="65" spans="1:10" x14ac:dyDescent="0.25">
      <c r="A65" s="32" t="s">
        <v>226</v>
      </c>
      <c r="B65" s="32" t="s">
        <v>219</v>
      </c>
      <c r="C65" s="32" t="s">
        <v>231</v>
      </c>
      <c r="D65" s="32">
        <v>2460</v>
      </c>
      <c r="E65" s="33">
        <v>10</v>
      </c>
      <c r="F65" s="33">
        <v>300</v>
      </c>
      <c r="G65" s="33">
        <v>738000</v>
      </c>
      <c r="H65" s="33">
        <v>678960</v>
      </c>
      <c r="I65" s="33">
        <v>63960</v>
      </c>
      <c r="J65" s="32" t="s">
        <v>218</v>
      </c>
    </row>
    <row r="66" spans="1:10" x14ac:dyDescent="0.25">
      <c r="A66" s="30" t="s">
        <v>211</v>
      </c>
      <c r="B66" s="30" t="s">
        <v>219</v>
      </c>
      <c r="C66" s="30" t="s">
        <v>231</v>
      </c>
      <c r="D66" s="30">
        <v>2993</v>
      </c>
      <c r="E66" s="31">
        <v>10</v>
      </c>
      <c r="F66" s="31">
        <v>20</v>
      </c>
      <c r="G66" s="31">
        <v>59860</v>
      </c>
      <c r="H66" s="31">
        <v>55071.199999999997</v>
      </c>
      <c r="I66" s="31">
        <v>25141.199999999997</v>
      </c>
      <c r="J66" s="30" t="s">
        <v>228</v>
      </c>
    </row>
    <row r="67" spans="1:10" x14ac:dyDescent="0.25">
      <c r="A67" s="32" t="s">
        <v>211</v>
      </c>
      <c r="B67" s="32" t="s">
        <v>219</v>
      </c>
      <c r="C67" s="32" t="s">
        <v>231</v>
      </c>
      <c r="D67" s="32">
        <v>1946</v>
      </c>
      <c r="E67" s="33">
        <v>10</v>
      </c>
      <c r="F67" s="33">
        <v>7</v>
      </c>
      <c r="G67" s="33">
        <v>13622</v>
      </c>
      <c r="H67" s="33">
        <v>12532.24</v>
      </c>
      <c r="I67" s="33">
        <v>2802.24</v>
      </c>
      <c r="J67" s="32" t="s">
        <v>236</v>
      </c>
    </row>
    <row r="68" spans="1:10" x14ac:dyDescent="0.25">
      <c r="A68" s="30" t="s">
        <v>211</v>
      </c>
      <c r="B68" s="30" t="s">
        <v>219</v>
      </c>
      <c r="C68" s="30" t="s">
        <v>231</v>
      </c>
      <c r="D68" s="30">
        <v>1362</v>
      </c>
      <c r="E68" s="31">
        <v>10</v>
      </c>
      <c r="F68" s="31">
        <v>350</v>
      </c>
      <c r="G68" s="31">
        <v>476700</v>
      </c>
      <c r="H68" s="31">
        <v>438564</v>
      </c>
      <c r="I68" s="31">
        <v>84444</v>
      </c>
      <c r="J68" s="30" t="s">
        <v>220</v>
      </c>
    </row>
    <row r="69" spans="1:10" x14ac:dyDescent="0.25">
      <c r="A69" s="32" t="s">
        <v>226</v>
      </c>
      <c r="B69" s="32" t="s">
        <v>219</v>
      </c>
      <c r="C69" s="32" t="s">
        <v>237</v>
      </c>
      <c r="D69" s="32">
        <v>635</v>
      </c>
      <c r="E69" s="33">
        <v>120</v>
      </c>
      <c r="F69" s="33">
        <v>300</v>
      </c>
      <c r="G69" s="33">
        <v>190500</v>
      </c>
      <c r="H69" s="33">
        <v>175260</v>
      </c>
      <c r="I69" s="33">
        <v>16510</v>
      </c>
      <c r="J69" s="32" t="s">
        <v>220</v>
      </c>
    </row>
    <row r="70" spans="1:10" x14ac:dyDescent="0.25">
      <c r="A70" s="30" t="s">
        <v>226</v>
      </c>
      <c r="B70" s="30" t="s">
        <v>219</v>
      </c>
      <c r="C70" s="30" t="s">
        <v>240</v>
      </c>
      <c r="D70" s="30">
        <v>2460</v>
      </c>
      <c r="E70" s="31">
        <v>260</v>
      </c>
      <c r="F70" s="31">
        <v>300</v>
      </c>
      <c r="G70" s="31">
        <v>738000</v>
      </c>
      <c r="H70" s="31">
        <v>678960</v>
      </c>
      <c r="I70" s="31">
        <v>63960</v>
      </c>
      <c r="J70" s="30" t="s">
        <v>218</v>
      </c>
    </row>
    <row r="71" spans="1:10" x14ac:dyDescent="0.25">
      <c r="A71" s="32" t="s">
        <v>223</v>
      </c>
      <c r="B71" s="32" t="s">
        <v>219</v>
      </c>
      <c r="C71" s="32" t="s">
        <v>240</v>
      </c>
      <c r="D71" s="32">
        <v>1375</v>
      </c>
      <c r="E71" s="33">
        <v>260</v>
      </c>
      <c r="F71" s="33">
        <v>12</v>
      </c>
      <c r="G71" s="33">
        <v>16500</v>
      </c>
      <c r="H71" s="33">
        <v>15180</v>
      </c>
      <c r="I71" s="33">
        <v>11055</v>
      </c>
      <c r="J71" s="32" t="s">
        <v>236</v>
      </c>
    </row>
    <row r="72" spans="1:10" x14ac:dyDescent="0.25">
      <c r="A72" s="30" t="s">
        <v>226</v>
      </c>
      <c r="B72" s="30" t="s">
        <v>219</v>
      </c>
      <c r="C72" s="30" t="s">
        <v>240</v>
      </c>
      <c r="D72" s="30">
        <v>635</v>
      </c>
      <c r="E72" s="31">
        <v>260</v>
      </c>
      <c r="F72" s="31">
        <v>300</v>
      </c>
      <c r="G72" s="31">
        <v>190500</v>
      </c>
      <c r="H72" s="31">
        <v>175260</v>
      </c>
      <c r="I72" s="31">
        <v>16510</v>
      </c>
      <c r="J72" s="30" t="s">
        <v>220</v>
      </c>
    </row>
    <row r="73" spans="1:10" x14ac:dyDescent="0.25">
      <c r="A73" s="32" t="s">
        <v>223</v>
      </c>
      <c r="B73" s="32" t="s">
        <v>219</v>
      </c>
      <c r="C73" s="32" t="s">
        <v>213</v>
      </c>
      <c r="D73" s="32">
        <v>367</v>
      </c>
      <c r="E73" s="33">
        <v>3</v>
      </c>
      <c r="F73" s="33">
        <v>12</v>
      </c>
      <c r="G73" s="33">
        <v>4404</v>
      </c>
      <c r="H73" s="33">
        <v>4007.64</v>
      </c>
      <c r="I73" s="33">
        <v>2906.64</v>
      </c>
      <c r="J73" s="32" t="s">
        <v>229</v>
      </c>
    </row>
    <row r="74" spans="1:10" x14ac:dyDescent="0.25">
      <c r="A74" s="30" t="s">
        <v>226</v>
      </c>
      <c r="B74" s="30" t="s">
        <v>219</v>
      </c>
      <c r="C74" s="30" t="s">
        <v>231</v>
      </c>
      <c r="D74" s="30">
        <v>2565</v>
      </c>
      <c r="E74" s="31">
        <v>10</v>
      </c>
      <c r="F74" s="31">
        <v>300</v>
      </c>
      <c r="G74" s="31">
        <v>769500</v>
      </c>
      <c r="H74" s="31">
        <v>700245</v>
      </c>
      <c r="I74" s="31">
        <v>58995</v>
      </c>
      <c r="J74" s="30" t="s">
        <v>214</v>
      </c>
    </row>
    <row r="75" spans="1:10" x14ac:dyDescent="0.25">
      <c r="A75" s="32" t="s">
        <v>211</v>
      </c>
      <c r="B75" s="32" t="s">
        <v>219</v>
      </c>
      <c r="C75" s="32" t="s">
        <v>231</v>
      </c>
      <c r="D75" s="32">
        <v>2417</v>
      </c>
      <c r="E75" s="33">
        <v>10</v>
      </c>
      <c r="F75" s="33">
        <v>350</v>
      </c>
      <c r="G75" s="33">
        <v>845950</v>
      </c>
      <c r="H75" s="33">
        <v>769814.5</v>
      </c>
      <c r="I75" s="33">
        <v>141394.5</v>
      </c>
      <c r="J75" s="32" t="s">
        <v>214</v>
      </c>
    </row>
    <row r="76" spans="1:10" x14ac:dyDescent="0.25">
      <c r="A76" s="30" t="s">
        <v>223</v>
      </c>
      <c r="B76" s="30" t="s">
        <v>219</v>
      </c>
      <c r="C76" s="30" t="s">
        <v>231</v>
      </c>
      <c r="D76" s="30">
        <v>367</v>
      </c>
      <c r="E76" s="31">
        <v>10</v>
      </c>
      <c r="F76" s="31">
        <v>12</v>
      </c>
      <c r="G76" s="31">
        <v>4404</v>
      </c>
      <c r="H76" s="31">
        <v>4007.64</v>
      </c>
      <c r="I76" s="31">
        <v>2906.64</v>
      </c>
      <c r="J76" s="30" t="s">
        <v>229</v>
      </c>
    </row>
    <row r="77" spans="1:10" x14ac:dyDescent="0.25">
      <c r="A77" s="32" t="s">
        <v>216</v>
      </c>
      <c r="B77" s="32" t="s">
        <v>219</v>
      </c>
      <c r="C77" s="32" t="s">
        <v>237</v>
      </c>
      <c r="D77" s="32">
        <v>245</v>
      </c>
      <c r="E77" s="33">
        <v>120</v>
      </c>
      <c r="F77" s="33">
        <v>15</v>
      </c>
      <c r="G77" s="33">
        <v>3675</v>
      </c>
      <c r="H77" s="33">
        <v>3344.25</v>
      </c>
      <c r="I77" s="33">
        <v>894.25</v>
      </c>
      <c r="J77" s="32" t="s">
        <v>241</v>
      </c>
    </row>
    <row r="78" spans="1:10" x14ac:dyDescent="0.25">
      <c r="A78" s="30" t="s">
        <v>224</v>
      </c>
      <c r="B78" s="30" t="s">
        <v>219</v>
      </c>
      <c r="C78" s="30" t="s">
        <v>237</v>
      </c>
      <c r="D78" s="30">
        <v>2110</v>
      </c>
      <c r="E78" s="31">
        <v>120</v>
      </c>
      <c r="F78" s="31">
        <v>125</v>
      </c>
      <c r="G78" s="31">
        <v>263750</v>
      </c>
      <c r="H78" s="31">
        <v>240012.5</v>
      </c>
      <c r="I78" s="31">
        <v>-13187.5</v>
      </c>
      <c r="J78" s="30" t="s">
        <v>228</v>
      </c>
    </row>
    <row r="79" spans="1:10" x14ac:dyDescent="0.25">
      <c r="A79" s="32" t="s">
        <v>224</v>
      </c>
      <c r="B79" s="32" t="s">
        <v>219</v>
      </c>
      <c r="C79" s="32" t="s">
        <v>238</v>
      </c>
      <c r="D79" s="32">
        <v>877</v>
      </c>
      <c r="E79" s="33">
        <v>250</v>
      </c>
      <c r="F79" s="33">
        <v>125</v>
      </c>
      <c r="G79" s="33">
        <v>109625</v>
      </c>
      <c r="H79" s="33">
        <v>99758.75</v>
      </c>
      <c r="I79" s="33">
        <v>-5481.25</v>
      </c>
      <c r="J79" s="32" t="s">
        <v>242</v>
      </c>
    </row>
    <row r="80" spans="1:10" x14ac:dyDescent="0.25">
      <c r="A80" s="30" t="s">
        <v>211</v>
      </c>
      <c r="B80" s="30" t="s">
        <v>219</v>
      </c>
      <c r="C80" s="30" t="s">
        <v>240</v>
      </c>
      <c r="D80" s="30">
        <v>1694</v>
      </c>
      <c r="E80" s="31">
        <v>260</v>
      </c>
      <c r="F80" s="31">
        <v>20</v>
      </c>
      <c r="G80" s="31">
        <v>33880</v>
      </c>
      <c r="H80" s="31">
        <v>30830.799999999999</v>
      </c>
      <c r="I80" s="31">
        <v>13890.8</v>
      </c>
      <c r="J80" s="30" t="s">
        <v>242</v>
      </c>
    </row>
    <row r="81" spans="1:10" x14ac:dyDescent="0.25">
      <c r="A81" s="32" t="s">
        <v>211</v>
      </c>
      <c r="B81" s="32" t="s">
        <v>219</v>
      </c>
      <c r="C81" s="32" t="s">
        <v>213</v>
      </c>
      <c r="D81" s="32">
        <v>521</v>
      </c>
      <c r="E81" s="33">
        <v>3</v>
      </c>
      <c r="F81" s="33">
        <v>7</v>
      </c>
      <c r="G81" s="33">
        <v>3647</v>
      </c>
      <c r="H81" s="33">
        <v>3318.77</v>
      </c>
      <c r="I81" s="33">
        <v>713.77</v>
      </c>
      <c r="J81" s="32" t="s">
        <v>220</v>
      </c>
    </row>
    <row r="82" spans="1:10" x14ac:dyDescent="0.25">
      <c r="A82" s="30" t="s">
        <v>211</v>
      </c>
      <c r="B82" s="30" t="s">
        <v>219</v>
      </c>
      <c r="C82" s="30" t="s">
        <v>231</v>
      </c>
      <c r="D82" s="30">
        <v>1038</v>
      </c>
      <c r="E82" s="31">
        <v>10</v>
      </c>
      <c r="F82" s="31">
        <v>20</v>
      </c>
      <c r="G82" s="31">
        <v>20760</v>
      </c>
      <c r="H82" s="31">
        <v>18891.599999999999</v>
      </c>
      <c r="I82" s="31">
        <v>8511.5999999999985</v>
      </c>
      <c r="J82" s="30" t="s">
        <v>218</v>
      </c>
    </row>
    <row r="83" spans="1:10" x14ac:dyDescent="0.25">
      <c r="A83" s="32" t="s">
        <v>216</v>
      </c>
      <c r="B83" s="32" t="s">
        <v>219</v>
      </c>
      <c r="C83" s="32" t="s">
        <v>237</v>
      </c>
      <c r="D83" s="32">
        <v>2628</v>
      </c>
      <c r="E83" s="33">
        <v>120</v>
      </c>
      <c r="F83" s="33">
        <v>15</v>
      </c>
      <c r="G83" s="33">
        <v>39420</v>
      </c>
      <c r="H83" s="33">
        <v>35872.199999999997</v>
      </c>
      <c r="I83" s="33">
        <v>9592.1999999999971</v>
      </c>
      <c r="J83" s="32" t="s">
        <v>239</v>
      </c>
    </row>
    <row r="84" spans="1:10" x14ac:dyDescent="0.25">
      <c r="A84" s="30" t="s">
        <v>211</v>
      </c>
      <c r="B84" s="30" t="s">
        <v>219</v>
      </c>
      <c r="C84" s="30" t="s">
        <v>238</v>
      </c>
      <c r="D84" s="30">
        <v>521</v>
      </c>
      <c r="E84" s="31">
        <v>250</v>
      </c>
      <c r="F84" s="31">
        <v>7</v>
      </c>
      <c r="G84" s="31">
        <v>3647</v>
      </c>
      <c r="H84" s="31">
        <v>3318.77</v>
      </c>
      <c r="I84" s="31">
        <v>713.77</v>
      </c>
      <c r="J84" s="30" t="s">
        <v>220</v>
      </c>
    </row>
    <row r="85" spans="1:10" x14ac:dyDescent="0.25">
      <c r="A85" s="32" t="s">
        <v>211</v>
      </c>
      <c r="B85" s="32" t="s">
        <v>219</v>
      </c>
      <c r="C85" s="32" t="s">
        <v>240</v>
      </c>
      <c r="D85" s="32">
        <v>1038</v>
      </c>
      <c r="E85" s="33">
        <v>260</v>
      </c>
      <c r="F85" s="33">
        <v>20</v>
      </c>
      <c r="G85" s="33">
        <v>20760</v>
      </c>
      <c r="H85" s="33">
        <v>18891.599999999999</v>
      </c>
      <c r="I85" s="33">
        <v>8511.5999999999985</v>
      </c>
      <c r="J85" s="32" t="s">
        <v>218</v>
      </c>
    </row>
    <row r="86" spans="1:10" x14ac:dyDescent="0.25">
      <c r="A86" s="30" t="s">
        <v>226</v>
      </c>
      <c r="B86" s="30" t="s">
        <v>219</v>
      </c>
      <c r="C86" s="30" t="s">
        <v>231</v>
      </c>
      <c r="D86" s="30">
        <v>591</v>
      </c>
      <c r="E86" s="31">
        <v>10</v>
      </c>
      <c r="F86" s="31">
        <v>300</v>
      </c>
      <c r="G86" s="31">
        <v>177300</v>
      </c>
      <c r="H86" s="31">
        <v>159570</v>
      </c>
      <c r="I86" s="31">
        <v>11820</v>
      </c>
      <c r="J86" s="30" t="s">
        <v>241</v>
      </c>
    </row>
    <row r="87" spans="1:10" x14ac:dyDescent="0.25">
      <c r="A87" s="32" t="s">
        <v>224</v>
      </c>
      <c r="B87" s="32" t="s">
        <v>219</v>
      </c>
      <c r="C87" s="32" t="s">
        <v>238</v>
      </c>
      <c r="D87" s="32">
        <v>341</v>
      </c>
      <c r="E87" s="33">
        <v>250</v>
      </c>
      <c r="F87" s="33">
        <v>125</v>
      </c>
      <c r="G87" s="33">
        <v>42625</v>
      </c>
      <c r="H87" s="33">
        <v>38362.5</v>
      </c>
      <c r="I87" s="33">
        <v>-2557.5</v>
      </c>
      <c r="J87" s="32" t="s">
        <v>241</v>
      </c>
    </row>
    <row r="88" spans="1:10" x14ac:dyDescent="0.25">
      <c r="A88" s="30" t="s">
        <v>216</v>
      </c>
      <c r="B88" s="30" t="s">
        <v>219</v>
      </c>
      <c r="C88" s="30" t="s">
        <v>238</v>
      </c>
      <c r="D88" s="30">
        <v>641</v>
      </c>
      <c r="E88" s="31">
        <v>250</v>
      </c>
      <c r="F88" s="31">
        <v>15</v>
      </c>
      <c r="G88" s="31">
        <v>9615</v>
      </c>
      <c r="H88" s="31">
        <v>8653.5</v>
      </c>
      <c r="I88" s="31">
        <v>2243.5</v>
      </c>
      <c r="J88" s="30" t="s">
        <v>225</v>
      </c>
    </row>
    <row r="89" spans="1:10" x14ac:dyDescent="0.25">
      <c r="A89" s="32" t="s">
        <v>226</v>
      </c>
      <c r="B89" s="32" t="s">
        <v>219</v>
      </c>
      <c r="C89" s="32" t="s">
        <v>238</v>
      </c>
      <c r="D89" s="32">
        <v>432</v>
      </c>
      <c r="E89" s="33">
        <v>250</v>
      </c>
      <c r="F89" s="33">
        <v>300</v>
      </c>
      <c r="G89" s="33">
        <v>129600</v>
      </c>
      <c r="H89" s="33">
        <v>116640</v>
      </c>
      <c r="I89" s="33">
        <v>8640</v>
      </c>
      <c r="J89" s="32" t="s">
        <v>228</v>
      </c>
    </row>
    <row r="90" spans="1:10" x14ac:dyDescent="0.25">
      <c r="A90" s="30" t="s">
        <v>211</v>
      </c>
      <c r="B90" s="30" t="s">
        <v>219</v>
      </c>
      <c r="C90" s="30" t="s">
        <v>240</v>
      </c>
      <c r="D90" s="30">
        <v>2039</v>
      </c>
      <c r="E90" s="31">
        <v>260</v>
      </c>
      <c r="F90" s="31">
        <v>20</v>
      </c>
      <c r="G90" s="31">
        <v>40780</v>
      </c>
      <c r="H90" s="31">
        <v>36702</v>
      </c>
      <c r="I90" s="31">
        <v>16312</v>
      </c>
      <c r="J90" s="30" t="s">
        <v>241</v>
      </c>
    </row>
    <row r="91" spans="1:10" x14ac:dyDescent="0.25">
      <c r="A91" s="32" t="s">
        <v>223</v>
      </c>
      <c r="B91" s="32" t="s">
        <v>219</v>
      </c>
      <c r="C91" s="32" t="s">
        <v>238</v>
      </c>
      <c r="D91" s="32">
        <v>1005</v>
      </c>
      <c r="E91" s="33">
        <v>250</v>
      </c>
      <c r="F91" s="33">
        <v>12</v>
      </c>
      <c r="G91" s="33">
        <v>12060</v>
      </c>
      <c r="H91" s="33">
        <v>10733.4</v>
      </c>
      <c r="I91" s="33">
        <v>7718.4</v>
      </c>
      <c r="J91" s="32" t="s">
        <v>233</v>
      </c>
    </row>
    <row r="92" spans="1:10" x14ac:dyDescent="0.25">
      <c r="A92" s="30" t="s">
        <v>211</v>
      </c>
      <c r="B92" s="30" t="s">
        <v>219</v>
      </c>
      <c r="C92" s="30" t="s">
        <v>213</v>
      </c>
      <c r="D92" s="30">
        <v>2706</v>
      </c>
      <c r="E92" s="31">
        <v>3</v>
      </c>
      <c r="F92" s="31">
        <v>7</v>
      </c>
      <c r="G92" s="31">
        <v>18942</v>
      </c>
      <c r="H92" s="31">
        <v>16858.38</v>
      </c>
      <c r="I92" s="31">
        <v>3328.380000000001</v>
      </c>
      <c r="J92" s="30" t="s">
        <v>235</v>
      </c>
    </row>
    <row r="93" spans="1:10" x14ac:dyDescent="0.25">
      <c r="A93" s="32" t="s">
        <v>216</v>
      </c>
      <c r="B93" s="32" t="s">
        <v>219</v>
      </c>
      <c r="C93" s="32" t="s">
        <v>221</v>
      </c>
      <c r="D93" s="32">
        <v>2157</v>
      </c>
      <c r="E93" s="33">
        <v>5</v>
      </c>
      <c r="F93" s="33">
        <v>15</v>
      </c>
      <c r="G93" s="33">
        <v>32355</v>
      </c>
      <c r="H93" s="33">
        <v>28795.95</v>
      </c>
      <c r="I93" s="33">
        <v>7225.9500000000007</v>
      </c>
      <c r="J93" s="32" t="s">
        <v>220</v>
      </c>
    </row>
    <row r="94" spans="1:10" x14ac:dyDescent="0.25">
      <c r="A94" s="30" t="s">
        <v>211</v>
      </c>
      <c r="B94" s="30" t="s">
        <v>219</v>
      </c>
      <c r="C94" s="30" t="s">
        <v>231</v>
      </c>
      <c r="D94" s="30">
        <v>1122</v>
      </c>
      <c r="E94" s="31">
        <v>10</v>
      </c>
      <c r="F94" s="31">
        <v>20</v>
      </c>
      <c r="G94" s="31">
        <v>22440</v>
      </c>
      <c r="H94" s="31">
        <v>19971.599999999999</v>
      </c>
      <c r="I94" s="31">
        <v>8751.5999999999985</v>
      </c>
      <c r="J94" s="30" t="s">
        <v>222</v>
      </c>
    </row>
    <row r="95" spans="1:10" x14ac:dyDescent="0.25">
      <c r="A95" s="32" t="s">
        <v>216</v>
      </c>
      <c r="B95" s="32" t="s">
        <v>219</v>
      </c>
      <c r="C95" s="32" t="s">
        <v>231</v>
      </c>
      <c r="D95" s="32">
        <v>1984</v>
      </c>
      <c r="E95" s="33">
        <v>10</v>
      </c>
      <c r="F95" s="33">
        <v>15</v>
      </c>
      <c r="G95" s="33">
        <v>29760</v>
      </c>
      <c r="H95" s="33">
        <v>26486.400000000001</v>
      </c>
      <c r="I95" s="33">
        <v>6646.4000000000015</v>
      </c>
      <c r="J95" s="32" t="s">
        <v>227</v>
      </c>
    </row>
    <row r="96" spans="1:10" x14ac:dyDescent="0.25">
      <c r="A96" s="30" t="s">
        <v>216</v>
      </c>
      <c r="B96" s="30" t="s">
        <v>219</v>
      </c>
      <c r="C96" s="30" t="s">
        <v>237</v>
      </c>
      <c r="D96" s="30">
        <v>655</v>
      </c>
      <c r="E96" s="31">
        <v>120</v>
      </c>
      <c r="F96" s="31">
        <v>15</v>
      </c>
      <c r="G96" s="31">
        <v>9825</v>
      </c>
      <c r="H96" s="31">
        <v>8744.25</v>
      </c>
      <c r="I96" s="31">
        <v>2194.25</v>
      </c>
      <c r="J96" s="30" t="s">
        <v>233</v>
      </c>
    </row>
    <row r="97" spans="1:10" x14ac:dyDescent="0.25">
      <c r="A97" s="32" t="s">
        <v>211</v>
      </c>
      <c r="B97" s="32" t="s">
        <v>219</v>
      </c>
      <c r="C97" s="32" t="s">
        <v>237</v>
      </c>
      <c r="D97" s="32">
        <v>344</v>
      </c>
      <c r="E97" s="33">
        <v>120</v>
      </c>
      <c r="F97" s="33">
        <v>350</v>
      </c>
      <c r="G97" s="33">
        <v>120400</v>
      </c>
      <c r="H97" s="33">
        <v>107156</v>
      </c>
      <c r="I97" s="33">
        <v>17716</v>
      </c>
      <c r="J97" s="32" t="s">
        <v>229</v>
      </c>
    </row>
    <row r="98" spans="1:10" x14ac:dyDescent="0.25">
      <c r="A98" s="30" t="s">
        <v>224</v>
      </c>
      <c r="B98" s="30" t="s">
        <v>219</v>
      </c>
      <c r="C98" s="30" t="s">
        <v>238</v>
      </c>
      <c r="D98" s="30">
        <v>554</v>
      </c>
      <c r="E98" s="31">
        <v>250</v>
      </c>
      <c r="F98" s="31">
        <v>125</v>
      </c>
      <c r="G98" s="31">
        <v>69250</v>
      </c>
      <c r="H98" s="31">
        <v>61632.5</v>
      </c>
      <c r="I98" s="31">
        <v>-4847.5</v>
      </c>
      <c r="J98" s="30" t="s">
        <v>214</v>
      </c>
    </row>
    <row r="99" spans="1:10" x14ac:dyDescent="0.25">
      <c r="A99" s="32" t="s">
        <v>211</v>
      </c>
      <c r="B99" s="32" t="s">
        <v>219</v>
      </c>
      <c r="C99" s="32" t="s">
        <v>240</v>
      </c>
      <c r="D99" s="32">
        <v>2629</v>
      </c>
      <c r="E99" s="33">
        <v>260</v>
      </c>
      <c r="F99" s="33">
        <v>20</v>
      </c>
      <c r="G99" s="33">
        <v>52580</v>
      </c>
      <c r="H99" s="33">
        <v>46796.2</v>
      </c>
      <c r="I99" s="33">
        <v>20506.199999999997</v>
      </c>
      <c r="J99" s="32" t="s">
        <v>214</v>
      </c>
    </row>
    <row r="100" spans="1:10" x14ac:dyDescent="0.25">
      <c r="A100" s="30" t="s">
        <v>224</v>
      </c>
      <c r="B100" s="30" t="s">
        <v>219</v>
      </c>
      <c r="C100" s="30" t="s">
        <v>240</v>
      </c>
      <c r="D100" s="30">
        <v>947</v>
      </c>
      <c r="E100" s="31">
        <v>260</v>
      </c>
      <c r="F100" s="31">
        <v>125</v>
      </c>
      <c r="G100" s="31">
        <v>118375</v>
      </c>
      <c r="H100" s="31">
        <v>105353.75</v>
      </c>
      <c r="I100" s="31">
        <v>-8286.25</v>
      </c>
      <c r="J100" s="30" t="s">
        <v>233</v>
      </c>
    </row>
    <row r="101" spans="1:10" x14ac:dyDescent="0.25">
      <c r="A101" s="32" t="s">
        <v>211</v>
      </c>
      <c r="B101" s="32" t="s">
        <v>219</v>
      </c>
      <c r="C101" s="32" t="s">
        <v>240</v>
      </c>
      <c r="D101" s="32">
        <v>344</v>
      </c>
      <c r="E101" s="33">
        <v>260</v>
      </c>
      <c r="F101" s="33">
        <v>350</v>
      </c>
      <c r="G101" s="33">
        <v>120400</v>
      </c>
      <c r="H101" s="33">
        <v>107156</v>
      </c>
      <c r="I101" s="33">
        <v>17716</v>
      </c>
      <c r="J101" s="32" t="s">
        <v>229</v>
      </c>
    </row>
    <row r="102" spans="1:10" x14ac:dyDescent="0.25">
      <c r="A102" s="30" t="s">
        <v>216</v>
      </c>
      <c r="B102" s="30" t="s">
        <v>219</v>
      </c>
      <c r="C102" s="30" t="s">
        <v>240</v>
      </c>
      <c r="D102" s="30">
        <v>2157</v>
      </c>
      <c r="E102" s="31">
        <v>260</v>
      </c>
      <c r="F102" s="31">
        <v>15</v>
      </c>
      <c r="G102" s="31">
        <v>32355</v>
      </c>
      <c r="H102" s="31">
        <v>28795.95</v>
      </c>
      <c r="I102" s="31">
        <v>7225.9500000000007</v>
      </c>
      <c r="J102" s="30" t="s">
        <v>220</v>
      </c>
    </row>
    <row r="103" spans="1:10" x14ac:dyDescent="0.25">
      <c r="A103" s="32" t="s">
        <v>211</v>
      </c>
      <c r="B103" s="32" t="s">
        <v>219</v>
      </c>
      <c r="C103" s="32" t="s">
        <v>213</v>
      </c>
      <c r="D103" s="32">
        <v>886</v>
      </c>
      <c r="E103" s="33">
        <v>3</v>
      </c>
      <c r="F103" s="33">
        <v>350</v>
      </c>
      <c r="G103" s="33">
        <v>310100</v>
      </c>
      <c r="H103" s="33">
        <v>272888</v>
      </c>
      <c r="I103" s="33">
        <v>42528</v>
      </c>
      <c r="J103" s="32" t="s">
        <v>218</v>
      </c>
    </row>
    <row r="104" spans="1:10" x14ac:dyDescent="0.25">
      <c r="A104" s="30" t="s">
        <v>224</v>
      </c>
      <c r="B104" s="30" t="s">
        <v>219</v>
      </c>
      <c r="C104" s="30" t="s">
        <v>213</v>
      </c>
      <c r="D104" s="30">
        <v>2156</v>
      </c>
      <c r="E104" s="31">
        <v>3</v>
      </c>
      <c r="F104" s="31">
        <v>125</v>
      </c>
      <c r="G104" s="31">
        <v>269500</v>
      </c>
      <c r="H104" s="31">
        <v>237160</v>
      </c>
      <c r="I104" s="31">
        <v>-21560</v>
      </c>
      <c r="J104" s="30" t="s">
        <v>234</v>
      </c>
    </row>
    <row r="105" spans="1:10" x14ac:dyDescent="0.25">
      <c r="A105" s="32" t="s">
        <v>211</v>
      </c>
      <c r="B105" s="32" t="s">
        <v>219</v>
      </c>
      <c r="C105" s="32" t="s">
        <v>221</v>
      </c>
      <c r="D105" s="32">
        <v>2420</v>
      </c>
      <c r="E105" s="33">
        <v>5</v>
      </c>
      <c r="F105" s="33">
        <v>7</v>
      </c>
      <c r="G105" s="33">
        <v>16940</v>
      </c>
      <c r="H105" s="33">
        <v>14907.2</v>
      </c>
      <c r="I105" s="33">
        <v>2807.2000000000007</v>
      </c>
      <c r="J105" s="32" t="s">
        <v>228</v>
      </c>
    </row>
    <row r="106" spans="1:10" x14ac:dyDescent="0.25">
      <c r="A106" s="30" t="s">
        <v>211</v>
      </c>
      <c r="B106" s="30" t="s">
        <v>219</v>
      </c>
      <c r="C106" s="30" t="s">
        <v>221</v>
      </c>
      <c r="D106" s="30">
        <v>1715</v>
      </c>
      <c r="E106" s="31">
        <v>5</v>
      </c>
      <c r="F106" s="31">
        <v>20</v>
      </c>
      <c r="G106" s="31">
        <v>34300</v>
      </c>
      <c r="H106" s="31">
        <v>30184</v>
      </c>
      <c r="I106" s="31">
        <v>13034</v>
      </c>
      <c r="J106" s="30" t="s">
        <v>229</v>
      </c>
    </row>
    <row r="107" spans="1:10" x14ac:dyDescent="0.25">
      <c r="A107" s="32" t="s">
        <v>211</v>
      </c>
      <c r="B107" s="32" t="s">
        <v>219</v>
      </c>
      <c r="C107" s="32" t="s">
        <v>231</v>
      </c>
      <c r="D107" s="32">
        <v>886</v>
      </c>
      <c r="E107" s="33">
        <v>10</v>
      </c>
      <c r="F107" s="33">
        <v>350</v>
      </c>
      <c r="G107" s="33">
        <v>310100</v>
      </c>
      <c r="H107" s="33">
        <v>272888</v>
      </c>
      <c r="I107" s="33">
        <v>42528</v>
      </c>
      <c r="J107" s="32" t="s">
        <v>218</v>
      </c>
    </row>
    <row r="108" spans="1:10" x14ac:dyDescent="0.25">
      <c r="A108" s="30" t="s">
        <v>224</v>
      </c>
      <c r="B108" s="30" t="s">
        <v>219</v>
      </c>
      <c r="C108" s="30" t="s">
        <v>231</v>
      </c>
      <c r="D108" s="30">
        <v>2156</v>
      </c>
      <c r="E108" s="31">
        <v>10</v>
      </c>
      <c r="F108" s="31">
        <v>125</v>
      </c>
      <c r="G108" s="31">
        <v>269500</v>
      </c>
      <c r="H108" s="31">
        <v>237160</v>
      </c>
      <c r="I108" s="31">
        <v>-21560</v>
      </c>
      <c r="J108" s="30" t="s">
        <v>234</v>
      </c>
    </row>
    <row r="109" spans="1:10" x14ac:dyDescent="0.25">
      <c r="A109" s="32" t="s">
        <v>211</v>
      </c>
      <c r="B109" s="32" t="s">
        <v>219</v>
      </c>
      <c r="C109" s="32" t="s">
        <v>231</v>
      </c>
      <c r="D109" s="32">
        <v>905</v>
      </c>
      <c r="E109" s="33">
        <v>10</v>
      </c>
      <c r="F109" s="33">
        <v>20</v>
      </c>
      <c r="G109" s="33">
        <v>18100</v>
      </c>
      <c r="H109" s="33">
        <v>15928</v>
      </c>
      <c r="I109" s="33">
        <v>6878</v>
      </c>
      <c r="J109" s="32" t="s">
        <v>234</v>
      </c>
    </row>
    <row r="110" spans="1:10" x14ac:dyDescent="0.25">
      <c r="A110" s="30" t="s">
        <v>211</v>
      </c>
      <c r="B110" s="30" t="s">
        <v>219</v>
      </c>
      <c r="C110" s="30" t="s">
        <v>231</v>
      </c>
      <c r="D110" s="30">
        <v>1715</v>
      </c>
      <c r="E110" s="31">
        <v>10</v>
      </c>
      <c r="F110" s="31">
        <v>20</v>
      </c>
      <c r="G110" s="31">
        <v>34300</v>
      </c>
      <c r="H110" s="31">
        <v>30184</v>
      </c>
      <c r="I110" s="31">
        <v>13034</v>
      </c>
      <c r="J110" s="30" t="s">
        <v>229</v>
      </c>
    </row>
    <row r="111" spans="1:10" x14ac:dyDescent="0.25">
      <c r="A111" s="32" t="s">
        <v>226</v>
      </c>
      <c r="B111" s="32" t="s">
        <v>219</v>
      </c>
      <c r="C111" s="32" t="s">
        <v>231</v>
      </c>
      <c r="D111" s="32">
        <v>2150</v>
      </c>
      <c r="E111" s="33">
        <v>10</v>
      </c>
      <c r="F111" s="33">
        <v>300</v>
      </c>
      <c r="G111" s="33">
        <v>645000</v>
      </c>
      <c r="H111" s="33">
        <v>567600</v>
      </c>
      <c r="I111" s="33">
        <v>30100</v>
      </c>
      <c r="J111" s="32" t="s">
        <v>242</v>
      </c>
    </row>
    <row r="112" spans="1:10" x14ac:dyDescent="0.25">
      <c r="A112" s="30" t="s">
        <v>211</v>
      </c>
      <c r="B112" s="30" t="s">
        <v>219</v>
      </c>
      <c r="C112" s="30" t="s">
        <v>231</v>
      </c>
      <c r="D112" s="30">
        <v>1197</v>
      </c>
      <c r="E112" s="31">
        <v>10</v>
      </c>
      <c r="F112" s="31">
        <v>350</v>
      </c>
      <c r="G112" s="31">
        <v>418950</v>
      </c>
      <c r="H112" s="31">
        <v>368676</v>
      </c>
      <c r="I112" s="31">
        <v>57456</v>
      </c>
      <c r="J112" s="30" t="s">
        <v>242</v>
      </c>
    </row>
    <row r="113" spans="1:10" x14ac:dyDescent="0.25">
      <c r="A113" s="32" t="s">
        <v>216</v>
      </c>
      <c r="B113" s="32" t="s">
        <v>219</v>
      </c>
      <c r="C113" s="32" t="s">
        <v>231</v>
      </c>
      <c r="D113" s="32">
        <v>380</v>
      </c>
      <c r="E113" s="33">
        <v>10</v>
      </c>
      <c r="F113" s="33">
        <v>15</v>
      </c>
      <c r="G113" s="33">
        <v>5700</v>
      </c>
      <c r="H113" s="33">
        <v>5016</v>
      </c>
      <c r="I113" s="33">
        <v>1216</v>
      </c>
      <c r="J113" s="32" t="s">
        <v>236</v>
      </c>
    </row>
    <row r="114" spans="1:10" x14ac:dyDescent="0.25">
      <c r="A114" s="30" t="s">
        <v>211</v>
      </c>
      <c r="B114" s="30" t="s">
        <v>219</v>
      </c>
      <c r="C114" s="30" t="s">
        <v>231</v>
      </c>
      <c r="D114" s="30">
        <v>1233</v>
      </c>
      <c r="E114" s="31">
        <v>10</v>
      </c>
      <c r="F114" s="31">
        <v>20</v>
      </c>
      <c r="G114" s="31">
        <v>24660</v>
      </c>
      <c r="H114" s="31">
        <v>21700.799999999999</v>
      </c>
      <c r="I114" s="31">
        <v>9370.7999999999993</v>
      </c>
      <c r="J114" s="30" t="s">
        <v>220</v>
      </c>
    </row>
    <row r="115" spans="1:10" x14ac:dyDescent="0.25">
      <c r="A115" s="32" t="s">
        <v>211</v>
      </c>
      <c r="B115" s="32" t="s">
        <v>219</v>
      </c>
      <c r="C115" s="32" t="s">
        <v>237</v>
      </c>
      <c r="D115" s="32">
        <v>1395</v>
      </c>
      <c r="E115" s="33">
        <v>120</v>
      </c>
      <c r="F115" s="33">
        <v>350</v>
      </c>
      <c r="G115" s="33">
        <v>488250</v>
      </c>
      <c r="H115" s="33">
        <v>429660</v>
      </c>
      <c r="I115" s="33">
        <v>66960</v>
      </c>
      <c r="J115" s="32" t="s">
        <v>225</v>
      </c>
    </row>
    <row r="116" spans="1:10" x14ac:dyDescent="0.25">
      <c r="A116" s="30" t="s">
        <v>211</v>
      </c>
      <c r="B116" s="30" t="s">
        <v>219</v>
      </c>
      <c r="C116" s="30" t="s">
        <v>237</v>
      </c>
      <c r="D116" s="30">
        <v>905</v>
      </c>
      <c r="E116" s="31">
        <v>120</v>
      </c>
      <c r="F116" s="31">
        <v>20</v>
      </c>
      <c r="G116" s="31">
        <v>18100</v>
      </c>
      <c r="H116" s="31">
        <v>15928</v>
      </c>
      <c r="I116" s="31">
        <v>6878</v>
      </c>
      <c r="J116" s="30" t="s">
        <v>234</v>
      </c>
    </row>
    <row r="117" spans="1:10" x14ac:dyDescent="0.25">
      <c r="A117" s="32" t="s">
        <v>211</v>
      </c>
      <c r="B117" s="32" t="s">
        <v>219</v>
      </c>
      <c r="C117" s="32" t="s">
        <v>238</v>
      </c>
      <c r="D117" s="32">
        <v>1233</v>
      </c>
      <c r="E117" s="33">
        <v>250</v>
      </c>
      <c r="F117" s="33">
        <v>20</v>
      </c>
      <c r="G117" s="33">
        <v>24660</v>
      </c>
      <c r="H117" s="33">
        <v>21700.799999999999</v>
      </c>
      <c r="I117" s="33">
        <v>9370.7999999999993</v>
      </c>
      <c r="J117" s="32" t="s">
        <v>220</v>
      </c>
    </row>
    <row r="118" spans="1:10" x14ac:dyDescent="0.25">
      <c r="A118" s="30" t="s">
        <v>223</v>
      </c>
      <c r="B118" s="30" t="s">
        <v>219</v>
      </c>
      <c r="C118" s="30" t="s">
        <v>221</v>
      </c>
      <c r="D118" s="30">
        <v>2661</v>
      </c>
      <c r="E118" s="31">
        <v>5</v>
      </c>
      <c r="F118" s="31">
        <v>12</v>
      </c>
      <c r="G118" s="31">
        <v>31932</v>
      </c>
      <c r="H118" s="31">
        <v>28100.16</v>
      </c>
      <c r="I118" s="31">
        <v>20117.16</v>
      </c>
      <c r="J118" s="30" t="s">
        <v>241</v>
      </c>
    </row>
    <row r="119" spans="1:10" x14ac:dyDescent="0.25">
      <c r="A119" s="32" t="s">
        <v>223</v>
      </c>
      <c r="B119" s="32" t="s">
        <v>219</v>
      </c>
      <c r="C119" s="32" t="s">
        <v>221</v>
      </c>
      <c r="D119" s="32">
        <v>604</v>
      </c>
      <c r="E119" s="33">
        <v>5</v>
      </c>
      <c r="F119" s="33">
        <v>12</v>
      </c>
      <c r="G119" s="33">
        <v>7248</v>
      </c>
      <c r="H119" s="33">
        <v>6305.76</v>
      </c>
      <c r="I119" s="33">
        <v>4493.76</v>
      </c>
      <c r="J119" s="32" t="s">
        <v>218</v>
      </c>
    </row>
    <row r="120" spans="1:10" x14ac:dyDescent="0.25">
      <c r="A120" s="30" t="s">
        <v>211</v>
      </c>
      <c r="B120" s="30" t="s">
        <v>219</v>
      </c>
      <c r="C120" s="30" t="s">
        <v>221</v>
      </c>
      <c r="D120" s="30">
        <v>2255</v>
      </c>
      <c r="E120" s="31">
        <v>5</v>
      </c>
      <c r="F120" s="31">
        <v>20</v>
      </c>
      <c r="G120" s="31">
        <v>45100</v>
      </c>
      <c r="H120" s="31">
        <v>39237</v>
      </c>
      <c r="I120" s="31">
        <v>16687</v>
      </c>
      <c r="J120" s="30" t="s">
        <v>225</v>
      </c>
    </row>
    <row r="121" spans="1:10" x14ac:dyDescent="0.25">
      <c r="A121" s="32" t="s">
        <v>223</v>
      </c>
      <c r="B121" s="32" t="s">
        <v>219</v>
      </c>
      <c r="C121" s="32" t="s">
        <v>231</v>
      </c>
      <c r="D121" s="32">
        <v>571</v>
      </c>
      <c r="E121" s="33">
        <v>10</v>
      </c>
      <c r="F121" s="33">
        <v>12</v>
      </c>
      <c r="G121" s="33">
        <v>6852</v>
      </c>
      <c r="H121" s="33">
        <v>5961.24</v>
      </c>
      <c r="I121" s="33">
        <v>4248.24</v>
      </c>
      <c r="J121" s="32" t="s">
        <v>225</v>
      </c>
    </row>
    <row r="122" spans="1:10" x14ac:dyDescent="0.25">
      <c r="A122" s="30" t="s">
        <v>223</v>
      </c>
      <c r="B122" s="30" t="s">
        <v>219</v>
      </c>
      <c r="C122" s="30" t="s">
        <v>237</v>
      </c>
      <c r="D122" s="30">
        <v>604</v>
      </c>
      <c r="E122" s="31">
        <v>120</v>
      </c>
      <c r="F122" s="31">
        <v>12</v>
      </c>
      <c r="G122" s="31">
        <v>7248</v>
      </c>
      <c r="H122" s="31">
        <v>6305.76</v>
      </c>
      <c r="I122" s="31">
        <v>4493.76</v>
      </c>
      <c r="J122" s="30" t="s">
        <v>218</v>
      </c>
    </row>
    <row r="123" spans="1:10" x14ac:dyDescent="0.25">
      <c r="A123" s="32" t="s">
        <v>223</v>
      </c>
      <c r="B123" s="32" t="s">
        <v>219</v>
      </c>
      <c r="C123" s="32" t="s">
        <v>237</v>
      </c>
      <c r="D123" s="32">
        <v>410</v>
      </c>
      <c r="E123" s="33">
        <v>120</v>
      </c>
      <c r="F123" s="33">
        <v>12</v>
      </c>
      <c r="G123" s="33">
        <v>4920</v>
      </c>
      <c r="H123" s="33">
        <v>4280.3999999999996</v>
      </c>
      <c r="I123" s="33">
        <v>3050.3999999999996</v>
      </c>
      <c r="J123" s="32" t="s">
        <v>234</v>
      </c>
    </row>
    <row r="124" spans="1:10" x14ac:dyDescent="0.25">
      <c r="A124" s="30" t="s">
        <v>226</v>
      </c>
      <c r="B124" s="30" t="s">
        <v>219</v>
      </c>
      <c r="C124" s="30" t="s">
        <v>237</v>
      </c>
      <c r="D124" s="30">
        <v>2605</v>
      </c>
      <c r="E124" s="31">
        <v>120</v>
      </c>
      <c r="F124" s="31">
        <v>300</v>
      </c>
      <c r="G124" s="31">
        <v>781500</v>
      </c>
      <c r="H124" s="31">
        <v>679905</v>
      </c>
      <c r="I124" s="31">
        <v>28655</v>
      </c>
      <c r="J124" s="30" t="s">
        <v>235</v>
      </c>
    </row>
    <row r="125" spans="1:10" x14ac:dyDescent="0.25">
      <c r="A125" s="32" t="s">
        <v>223</v>
      </c>
      <c r="B125" s="32" t="s">
        <v>219</v>
      </c>
      <c r="C125" s="32" t="s">
        <v>240</v>
      </c>
      <c r="D125" s="32">
        <v>410</v>
      </c>
      <c r="E125" s="33">
        <v>260</v>
      </c>
      <c r="F125" s="33">
        <v>12</v>
      </c>
      <c r="G125" s="33">
        <v>4920</v>
      </c>
      <c r="H125" s="33">
        <v>4280.3999999999996</v>
      </c>
      <c r="I125" s="33">
        <v>3050.3999999999996</v>
      </c>
      <c r="J125" s="32" t="s">
        <v>234</v>
      </c>
    </row>
    <row r="126" spans="1:10" x14ac:dyDescent="0.25">
      <c r="A126" s="30" t="s">
        <v>211</v>
      </c>
      <c r="B126" s="30" t="s">
        <v>219</v>
      </c>
      <c r="C126" s="30" t="s">
        <v>213</v>
      </c>
      <c r="D126" s="30">
        <v>2579</v>
      </c>
      <c r="E126" s="31">
        <v>3</v>
      </c>
      <c r="F126" s="31">
        <v>20</v>
      </c>
      <c r="G126" s="31">
        <v>51580</v>
      </c>
      <c r="H126" s="31">
        <v>44358.8</v>
      </c>
      <c r="I126" s="31">
        <v>18568.800000000003</v>
      </c>
      <c r="J126" s="30" t="s">
        <v>239</v>
      </c>
    </row>
    <row r="127" spans="1:10" x14ac:dyDescent="0.25">
      <c r="A127" s="32" t="s">
        <v>226</v>
      </c>
      <c r="B127" s="32" t="s">
        <v>219</v>
      </c>
      <c r="C127" s="32" t="s">
        <v>213</v>
      </c>
      <c r="D127" s="32">
        <v>801</v>
      </c>
      <c r="E127" s="33">
        <v>3</v>
      </c>
      <c r="F127" s="33">
        <v>300</v>
      </c>
      <c r="G127" s="33">
        <v>240300</v>
      </c>
      <c r="H127" s="33">
        <v>206658</v>
      </c>
      <c r="I127" s="33">
        <v>6408</v>
      </c>
      <c r="J127" s="32" t="s">
        <v>225</v>
      </c>
    </row>
    <row r="128" spans="1:10" x14ac:dyDescent="0.25">
      <c r="A128" s="30" t="s">
        <v>224</v>
      </c>
      <c r="B128" s="30" t="s">
        <v>219</v>
      </c>
      <c r="C128" s="30" t="s">
        <v>213</v>
      </c>
      <c r="D128" s="30">
        <v>2821</v>
      </c>
      <c r="E128" s="31">
        <v>3</v>
      </c>
      <c r="F128" s="31">
        <v>125</v>
      </c>
      <c r="G128" s="31">
        <v>352625</v>
      </c>
      <c r="H128" s="31">
        <v>303257.5</v>
      </c>
      <c r="I128" s="31">
        <v>-35262.5</v>
      </c>
      <c r="J128" s="30" t="s">
        <v>236</v>
      </c>
    </row>
    <row r="129" spans="1:10" x14ac:dyDescent="0.25">
      <c r="A129" s="32" t="s">
        <v>211</v>
      </c>
      <c r="B129" s="32" t="s">
        <v>219</v>
      </c>
      <c r="C129" s="32" t="s">
        <v>221</v>
      </c>
      <c r="D129" s="32">
        <v>1727</v>
      </c>
      <c r="E129" s="33">
        <v>5</v>
      </c>
      <c r="F129" s="33">
        <v>7</v>
      </c>
      <c r="G129" s="33">
        <v>12089</v>
      </c>
      <c r="H129" s="33">
        <v>10396.540000000001</v>
      </c>
      <c r="I129" s="33">
        <v>1761.5400000000009</v>
      </c>
      <c r="J129" s="32" t="s">
        <v>229</v>
      </c>
    </row>
    <row r="130" spans="1:10" x14ac:dyDescent="0.25">
      <c r="A130" s="30" t="s">
        <v>211</v>
      </c>
      <c r="B130" s="30" t="s">
        <v>219</v>
      </c>
      <c r="C130" s="30" t="s">
        <v>231</v>
      </c>
      <c r="D130" s="30">
        <v>260</v>
      </c>
      <c r="E130" s="31">
        <v>10</v>
      </c>
      <c r="F130" s="31">
        <v>20</v>
      </c>
      <c r="G130" s="31">
        <v>5200</v>
      </c>
      <c r="H130" s="31">
        <v>4472</v>
      </c>
      <c r="I130" s="31">
        <v>1872</v>
      </c>
      <c r="J130" s="30" t="s">
        <v>232</v>
      </c>
    </row>
    <row r="131" spans="1:10" x14ac:dyDescent="0.25">
      <c r="A131" s="32" t="s">
        <v>224</v>
      </c>
      <c r="B131" s="32" t="s">
        <v>219</v>
      </c>
      <c r="C131" s="32" t="s">
        <v>237</v>
      </c>
      <c r="D131" s="32">
        <v>1575</v>
      </c>
      <c r="E131" s="33">
        <v>120</v>
      </c>
      <c r="F131" s="33">
        <v>125</v>
      </c>
      <c r="G131" s="33">
        <v>196875</v>
      </c>
      <c r="H131" s="33">
        <v>169312.5</v>
      </c>
      <c r="I131" s="33">
        <v>-19687.5</v>
      </c>
      <c r="J131" s="32" t="s">
        <v>232</v>
      </c>
    </row>
    <row r="132" spans="1:10" x14ac:dyDescent="0.25">
      <c r="A132" s="30" t="s">
        <v>211</v>
      </c>
      <c r="B132" s="30" t="s">
        <v>219</v>
      </c>
      <c r="C132" s="30" t="s">
        <v>238</v>
      </c>
      <c r="D132" s="30">
        <v>2903</v>
      </c>
      <c r="E132" s="31">
        <v>250</v>
      </c>
      <c r="F132" s="31">
        <v>7</v>
      </c>
      <c r="G132" s="31">
        <v>20321</v>
      </c>
      <c r="H132" s="31">
        <v>17476.060000000001</v>
      </c>
      <c r="I132" s="31">
        <v>2961.0600000000013</v>
      </c>
      <c r="J132" s="30" t="s">
        <v>222</v>
      </c>
    </row>
    <row r="133" spans="1:10" x14ac:dyDescent="0.25">
      <c r="A133" s="32" t="s">
        <v>211</v>
      </c>
      <c r="B133" s="32" t="s">
        <v>219</v>
      </c>
      <c r="C133" s="32" t="s">
        <v>240</v>
      </c>
      <c r="D133" s="32">
        <v>1727</v>
      </c>
      <c r="E133" s="33">
        <v>260</v>
      </c>
      <c r="F133" s="33">
        <v>7</v>
      </c>
      <c r="G133" s="33">
        <v>12089</v>
      </c>
      <c r="H133" s="33">
        <v>10396.540000000001</v>
      </c>
      <c r="I133" s="33">
        <v>1761.5400000000009</v>
      </c>
      <c r="J133" s="32" t="s">
        <v>229</v>
      </c>
    </row>
    <row r="134" spans="1:10" x14ac:dyDescent="0.25">
      <c r="A134" s="30" t="s">
        <v>216</v>
      </c>
      <c r="B134" s="30" t="s">
        <v>219</v>
      </c>
      <c r="C134" s="30" t="s">
        <v>240</v>
      </c>
      <c r="D134" s="30">
        <v>1870</v>
      </c>
      <c r="E134" s="31">
        <v>260</v>
      </c>
      <c r="F134" s="31">
        <v>15</v>
      </c>
      <c r="G134" s="31">
        <v>28050</v>
      </c>
      <c r="H134" s="31">
        <v>24123</v>
      </c>
      <c r="I134" s="31">
        <v>5423</v>
      </c>
      <c r="J134" s="30" t="s">
        <v>235</v>
      </c>
    </row>
    <row r="135" spans="1:10" x14ac:dyDescent="0.25">
      <c r="A135" s="32" t="s">
        <v>226</v>
      </c>
      <c r="B135" s="32" t="s">
        <v>219</v>
      </c>
      <c r="C135" s="32" t="s">
        <v>221</v>
      </c>
      <c r="D135" s="32">
        <v>546</v>
      </c>
      <c r="E135" s="33">
        <v>5</v>
      </c>
      <c r="F135" s="33">
        <v>300</v>
      </c>
      <c r="G135" s="33">
        <v>163800</v>
      </c>
      <c r="H135" s="33">
        <v>139230</v>
      </c>
      <c r="I135" s="33">
        <v>2730</v>
      </c>
      <c r="J135" s="32" t="s">
        <v>234</v>
      </c>
    </row>
    <row r="136" spans="1:10" x14ac:dyDescent="0.25">
      <c r="A136" s="30" t="s">
        <v>211</v>
      </c>
      <c r="B136" s="30" t="s">
        <v>219</v>
      </c>
      <c r="C136" s="30" t="s">
        <v>231</v>
      </c>
      <c r="D136" s="30">
        <v>2535</v>
      </c>
      <c r="E136" s="31">
        <v>10</v>
      </c>
      <c r="F136" s="31">
        <v>7</v>
      </c>
      <c r="G136" s="31">
        <v>17745</v>
      </c>
      <c r="H136" s="31">
        <v>15083.25</v>
      </c>
      <c r="I136" s="31">
        <v>2408.25</v>
      </c>
      <c r="J136" s="30" t="s">
        <v>239</v>
      </c>
    </row>
    <row r="137" spans="1:10" x14ac:dyDescent="0.25">
      <c r="A137" s="32" t="s">
        <v>211</v>
      </c>
      <c r="B137" s="32" t="s">
        <v>219</v>
      </c>
      <c r="C137" s="32" t="s">
        <v>231</v>
      </c>
      <c r="D137" s="32">
        <v>2851</v>
      </c>
      <c r="E137" s="33">
        <v>10</v>
      </c>
      <c r="F137" s="33">
        <v>350</v>
      </c>
      <c r="G137" s="33">
        <v>997850</v>
      </c>
      <c r="H137" s="33">
        <v>848172.5</v>
      </c>
      <c r="I137" s="33">
        <v>106912.5</v>
      </c>
      <c r="J137" s="32" t="s">
        <v>241</v>
      </c>
    </row>
    <row r="138" spans="1:10" x14ac:dyDescent="0.25">
      <c r="A138" s="30" t="s">
        <v>211</v>
      </c>
      <c r="B138" s="30" t="s">
        <v>219</v>
      </c>
      <c r="C138" s="30" t="s">
        <v>231</v>
      </c>
      <c r="D138" s="30">
        <v>2151</v>
      </c>
      <c r="E138" s="31">
        <v>10</v>
      </c>
      <c r="F138" s="31">
        <v>350</v>
      </c>
      <c r="G138" s="31">
        <v>752850</v>
      </c>
      <c r="H138" s="31">
        <v>639922.5</v>
      </c>
      <c r="I138" s="31">
        <v>80662.5</v>
      </c>
      <c r="J138" s="30" t="s">
        <v>235</v>
      </c>
    </row>
    <row r="139" spans="1:10" x14ac:dyDescent="0.25">
      <c r="A139" s="32" t="s">
        <v>223</v>
      </c>
      <c r="B139" s="32" t="s">
        <v>219</v>
      </c>
      <c r="C139" s="32" t="s">
        <v>237</v>
      </c>
      <c r="D139" s="32">
        <v>500</v>
      </c>
      <c r="E139" s="33">
        <v>120</v>
      </c>
      <c r="F139" s="33">
        <v>12</v>
      </c>
      <c r="G139" s="33">
        <v>6000</v>
      </c>
      <c r="H139" s="33">
        <v>5100</v>
      </c>
      <c r="I139" s="33">
        <v>3600</v>
      </c>
      <c r="J139" s="32" t="s">
        <v>222</v>
      </c>
    </row>
    <row r="140" spans="1:10" x14ac:dyDescent="0.25">
      <c r="A140" s="30" t="s">
        <v>226</v>
      </c>
      <c r="B140" s="30" t="s">
        <v>219</v>
      </c>
      <c r="C140" s="30" t="s">
        <v>240</v>
      </c>
      <c r="D140" s="30">
        <v>546</v>
      </c>
      <c r="E140" s="31">
        <v>260</v>
      </c>
      <c r="F140" s="31">
        <v>300</v>
      </c>
      <c r="G140" s="31">
        <v>163800</v>
      </c>
      <c r="H140" s="31">
        <v>139230</v>
      </c>
      <c r="I140" s="31">
        <v>2730</v>
      </c>
      <c r="J140" s="30" t="s">
        <v>234</v>
      </c>
    </row>
    <row r="141" spans="1:10" ht="15.75" thickBot="1" x14ac:dyDescent="0.3">
      <c r="A141" s="34" t="s">
        <v>211</v>
      </c>
      <c r="B141" s="34" t="s">
        <v>219</v>
      </c>
      <c r="C141" s="34" t="s">
        <v>221</v>
      </c>
      <c r="D141" s="34">
        <v>1368</v>
      </c>
      <c r="E141" s="35">
        <v>5</v>
      </c>
      <c r="F141" s="35">
        <v>7</v>
      </c>
      <c r="G141" s="35">
        <v>9576</v>
      </c>
      <c r="H141" s="35">
        <v>8139.6</v>
      </c>
      <c r="I141" s="35">
        <v>1299.6000000000004</v>
      </c>
      <c r="J141" s="34" t="s">
        <v>232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J140"/>
  <sheetViews>
    <sheetView workbookViewId="0">
      <selection sqref="A1:J140"/>
    </sheetView>
  </sheetViews>
  <sheetFormatPr baseColWidth="10" defaultRowHeight="15" x14ac:dyDescent="0.25"/>
  <cols>
    <col min="1" max="1" width="17.7109375" customWidth="1"/>
    <col min="2" max="2" width="34.28515625" customWidth="1"/>
    <col min="3" max="3" width="22.28515625" bestFit="1" customWidth="1"/>
    <col min="4" max="4" width="20.42578125" bestFit="1" customWidth="1"/>
    <col min="5" max="5" width="21.28515625" customWidth="1"/>
    <col min="6" max="6" width="17" customWidth="1"/>
    <col min="7" max="7" width="14.5703125" customWidth="1"/>
    <col min="8" max="8" width="14.85546875" bestFit="1" customWidth="1"/>
    <col min="9" max="9" width="16" bestFit="1" customWidth="1"/>
  </cols>
  <sheetData>
    <row r="1" spans="1:10" ht="15.75" thickBot="1" x14ac:dyDescent="0.3">
      <c r="A1" s="28" t="s">
        <v>202</v>
      </c>
      <c r="B1" s="28" t="s">
        <v>246</v>
      </c>
      <c r="C1" s="28" t="s">
        <v>203</v>
      </c>
      <c r="D1" s="28" t="s">
        <v>204</v>
      </c>
      <c r="E1" s="29" t="s">
        <v>205</v>
      </c>
      <c r="F1" s="29" t="s">
        <v>206</v>
      </c>
      <c r="G1" s="29" t="s">
        <v>207</v>
      </c>
      <c r="H1" s="29" t="s">
        <v>208</v>
      </c>
      <c r="I1" s="29" t="s">
        <v>209</v>
      </c>
      <c r="J1" s="28" t="s">
        <v>210</v>
      </c>
    </row>
    <row r="2" spans="1:10" x14ac:dyDescent="0.25">
      <c r="A2" s="30" t="s">
        <v>216</v>
      </c>
      <c r="B2" s="30" t="s">
        <v>230</v>
      </c>
      <c r="C2" s="30" t="s">
        <v>221</v>
      </c>
      <c r="D2" s="30">
        <v>615</v>
      </c>
      <c r="E2" s="31">
        <v>5</v>
      </c>
      <c r="F2" s="31">
        <v>15</v>
      </c>
      <c r="G2" s="31">
        <v>9225</v>
      </c>
      <c r="H2" s="31">
        <v>9225</v>
      </c>
      <c r="I2" s="31">
        <v>3075</v>
      </c>
      <c r="J2" s="30" t="s">
        <v>220</v>
      </c>
    </row>
    <row r="3" spans="1:10" x14ac:dyDescent="0.25">
      <c r="A3" s="32" t="s">
        <v>211</v>
      </c>
      <c r="B3" s="32" t="s">
        <v>230</v>
      </c>
      <c r="C3" s="32" t="s">
        <v>231</v>
      </c>
      <c r="D3" s="32">
        <v>1143</v>
      </c>
      <c r="E3" s="33">
        <v>10</v>
      </c>
      <c r="F3" s="33">
        <v>7</v>
      </c>
      <c r="G3" s="33">
        <v>8001</v>
      </c>
      <c r="H3" s="33">
        <v>8001</v>
      </c>
      <c r="I3" s="33">
        <v>2286</v>
      </c>
      <c r="J3" s="32" t="s">
        <v>234</v>
      </c>
    </row>
    <row r="4" spans="1:10" x14ac:dyDescent="0.25">
      <c r="A4" s="30" t="s">
        <v>223</v>
      </c>
      <c r="B4" s="30" t="s">
        <v>230</v>
      </c>
      <c r="C4" s="30" t="s">
        <v>231</v>
      </c>
      <c r="D4" s="30">
        <v>912</v>
      </c>
      <c r="E4" s="31">
        <v>10</v>
      </c>
      <c r="F4" s="31">
        <v>12</v>
      </c>
      <c r="G4" s="31">
        <v>10944</v>
      </c>
      <c r="H4" s="31">
        <v>10944</v>
      </c>
      <c r="I4" s="31">
        <v>8208</v>
      </c>
      <c r="J4" s="30" t="s">
        <v>235</v>
      </c>
    </row>
    <row r="5" spans="1:10" x14ac:dyDescent="0.25">
      <c r="A5" s="32" t="s">
        <v>224</v>
      </c>
      <c r="B5" s="32" t="s">
        <v>230</v>
      </c>
      <c r="C5" s="32" t="s">
        <v>237</v>
      </c>
      <c r="D5" s="32">
        <v>2821</v>
      </c>
      <c r="E5" s="33">
        <v>120</v>
      </c>
      <c r="F5" s="33">
        <v>125</v>
      </c>
      <c r="G5" s="33">
        <v>352625</v>
      </c>
      <c r="H5" s="33">
        <v>352625</v>
      </c>
      <c r="I5" s="33">
        <v>14105</v>
      </c>
      <c r="J5" s="32" t="s">
        <v>227</v>
      </c>
    </row>
    <row r="6" spans="1:10" x14ac:dyDescent="0.25">
      <c r="A6" s="30" t="s">
        <v>223</v>
      </c>
      <c r="B6" s="30" t="s">
        <v>230</v>
      </c>
      <c r="C6" s="30" t="s">
        <v>240</v>
      </c>
      <c r="D6" s="30">
        <v>1953</v>
      </c>
      <c r="E6" s="31">
        <v>260</v>
      </c>
      <c r="F6" s="31">
        <v>12</v>
      </c>
      <c r="G6" s="31">
        <v>23436</v>
      </c>
      <c r="H6" s="31">
        <v>23436</v>
      </c>
      <c r="I6" s="31">
        <v>17577</v>
      </c>
      <c r="J6" s="30" t="s">
        <v>239</v>
      </c>
    </row>
    <row r="7" spans="1:10" x14ac:dyDescent="0.25">
      <c r="A7" s="32" t="s">
        <v>223</v>
      </c>
      <c r="B7" s="32" t="s">
        <v>230</v>
      </c>
      <c r="C7" s="32" t="s">
        <v>240</v>
      </c>
      <c r="D7" s="32">
        <v>2141</v>
      </c>
      <c r="E7" s="33">
        <v>260</v>
      </c>
      <c r="F7" s="33">
        <v>12</v>
      </c>
      <c r="G7" s="33">
        <v>25692</v>
      </c>
      <c r="H7" s="33">
        <v>25692</v>
      </c>
      <c r="I7" s="33">
        <v>19269</v>
      </c>
      <c r="J7" s="32" t="s">
        <v>227</v>
      </c>
    </row>
    <row r="8" spans="1:10" x14ac:dyDescent="0.25">
      <c r="A8" s="30" t="s">
        <v>211</v>
      </c>
      <c r="B8" s="30" t="s">
        <v>230</v>
      </c>
      <c r="C8" s="30" t="s">
        <v>240</v>
      </c>
      <c r="D8" s="30">
        <v>1143</v>
      </c>
      <c r="E8" s="31">
        <v>260</v>
      </c>
      <c r="F8" s="31">
        <v>7</v>
      </c>
      <c r="G8" s="31">
        <v>8001</v>
      </c>
      <c r="H8" s="31">
        <v>8001</v>
      </c>
      <c r="I8" s="31">
        <v>2286</v>
      </c>
      <c r="J8" s="30" t="s">
        <v>234</v>
      </c>
    </row>
    <row r="9" spans="1:10" x14ac:dyDescent="0.25">
      <c r="A9" s="32" t="s">
        <v>216</v>
      </c>
      <c r="B9" s="32" t="s">
        <v>230</v>
      </c>
      <c r="C9" s="32" t="s">
        <v>240</v>
      </c>
      <c r="D9" s="32">
        <v>615</v>
      </c>
      <c r="E9" s="33">
        <v>260</v>
      </c>
      <c r="F9" s="33">
        <v>15</v>
      </c>
      <c r="G9" s="33">
        <v>9225</v>
      </c>
      <c r="H9" s="33">
        <v>9225</v>
      </c>
      <c r="I9" s="33">
        <v>3075</v>
      </c>
      <c r="J9" s="32" t="s">
        <v>220</v>
      </c>
    </row>
    <row r="10" spans="1:10" x14ac:dyDescent="0.25">
      <c r="A10" s="30" t="s">
        <v>223</v>
      </c>
      <c r="B10" s="30" t="s">
        <v>230</v>
      </c>
      <c r="C10" s="30" t="s">
        <v>213</v>
      </c>
      <c r="D10" s="30">
        <v>1858</v>
      </c>
      <c r="E10" s="31">
        <v>3</v>
      </c>
      <c r="F10" s="31">
        <v>12</v>
      </c>
      <c r="G10" s="31">
        <v>22296</v>
      </c>
      <c r="H10" s="31">
        <v>22073.040000000001</v>
      </c>
      <c r="I10" s="31">
        <v>16499.04</v>
      </c>
      <c r="J10" s="30" t="s">
        <v>232</v>
      </c>
    </row>
    <row r="11" spans="1:10" x14ac:dyDescent="0.25">
      <c r="A11" s="32" t="s">
        <v>211</v>
      </c>
      <c r="B11" s="32" t="s">
        <v>230</v>
      </c>
      <c r="C11" s="32" t="s">
        <v>213</v>
      </c>
      <c r="D11" s="32">
        <v>2529</v>
      </c>
      <c r="E11" s="33">
        <v>3</v>
      </c>
      <c r="F11" s="33">
        <v>7</v>
      </c>
      <c r="G11" s="33">
        <v>17703</v>
      </c>
      <c r="H11" s="33">
        <v>17525.97</v>
      </c>
      <c r="I11" s="33">
        <v>4880.9699999999993</v>
      </c>
      <c r="J11" s="32" t="s">
        <v>225</v>
      </c>
    </row>
    <row r="12" spans="1:10" x14ac:dyDescent="0.25">
      <c r="A12" s="30" t="s">
        <v>224</v>
      </c>
      <c r="B12" s="30" t="s">
        <v>230</v>
      </c>
      <c r="C12" s="30" t="s">
        <v>213</v>
      </c>
      <c r="D12" s="30">
        <v>330</v>
      </c>
      <c r="E12" s="31">
        <v>3</v>
      </c>
      <c r="F12" s="31">
        <v>125</v>
      </c>
      <c r="G12" s="31">
        <v>41250</v>
      </c>
      <c r="H12" s="31">
        <v>40837.5</v>
      </c>
      <c r="I12" s="31">
        <v>1237.5</v>
      </c>
      <c r="J12" s="30" t="s">
        <v>233</v>
      </c>
    </row>
    <row r="13" spans="1:10" x14ac:dyDescent="0.25">
      <c r="A13" s="32" t="s">
        <v>226</v>
      </c>
      <c r="B13" s="32" t="s">
        <v>230</v>
      </c>
      <c r="C13" s="32" t="s">
        <v>221</v>
      </c>
      <c r="D13" s="32">
        <v>2301</v>
      </c>
      <c r="E13" s="33">
        <v>5</v>
      </c>
      <c r="F13" s="33">
        <v>300</v>
      </c>
      <c r="G13" s="33">
        <v>690300</v>
      </c>
      <c r="H13" s="33">
        <v>683397</v>
      </c>
      <c r="I13" s="33">
        <v>108147</v>
      </c>
      <c r="J13" s="32" t="s">
        <v>239</v>
      </c>
    </row>
    <row r="14" spans="1:10" x14ac:dyDescent="0.25">
      <c r="A14" s="30" t="s">
        <v>226</v>
      </c>
      <c r="B14" s="30" t="s">
        <v>230</v>
      </c>
      <c r="C14" s="30" t="s">
        <v>221</v>
      </c>
      <c r="D14" s="30">
        <v>2498</v>
      </c>
      <c r="E14" s="31">
        <v>5</v>
      </c>
      <c r="F14" s="31">
        <v>300</v>
      </c>
      <c r="G14" s="31">
        <v>749400</v>
      </c>
      <c r="H14" s="31">
        <v>741906</v>
      </c>
      <c r="I14" s="31">
        <v>117406</v>
      </c>
      <c r="J14" s="30" t="s">
        <v>233</v>
      </c>
    </row>
    <row r="15" spans="1:10" x14ac:dyDescent="0.25">
      <c r="A15" s="32" t="s">
        <v>224</v>
      </c>
      <c r="B15" s="32" t="s">
        <v>230</v>
      </c>
      <c r="C15" s="32" t="s">
        <v>221</v>
      </c>
      <c r="D15" s="32">
        <v>663</v>
      </c>
      <c r="E15" s="33">
        <v>5</v>
      </c>
      <c r="F15" s="33">
        <v>125</v>
      </c>
      <c r="G15" s="33">
        <v>82875</v>
      </c>
      <c r="H15" s="33">
        <v>82046.25</v>
      </c>
      <c r="I15" s="33">
        <v>2486.25</v>
      </c>
      <c r="J15" s="32" t="s">
        <v>229</v>
      </c>
    </row>
    <row r="16" spans="1:10" x14ac:dyDescent="0.25">
      <c r="A16" s="30" t="s">
        <v>216</v>
      </c>
      <c r="B16" s="30" t="s">
        <v>230</v>
      </c>
      <c r="C16" s="30" t="s">
        <v>231</v>
      </c>
      <c r="D16" s="30">
        <v>1514</v>
      </c>
      <c r="E16" s="31">
        <v>10</v>
      </c>
      <c r="F16" s="31">
        <v>15</v>
      </c>
      <c r="G16" s="31">
        <v>22710</v>
      </c>
      <c r="H16" s="31">
        <v>22482.9</v>
      </c>
      <c r="I16" s="31">
        <v>7342.9000000000015</v>
      </c>
      <c r="J16" s="30" t="s">
        <v>232</v>
      </c>
    </row>
    <row r="17" spans="1:10" x14ac:dyDescent="0.25">
      <c r="A17" s="32" t="s">
        <v>211</v>
      </c>
      <c r="B17" s="32" t="s">
        <v>230</v>
      </c>
      <c r="C17" s="32" t="s">
        <v>231</v>
      </c>
      <c r="D17" s="32">
        <v>4492.5</v>
      </c>
      <c r="E17" s="33">
        <v>10</v>
      </c>
      <c r="F17" s="33">
        <v>7</v>
      </c>
      <c r="G17" s="33">
        <v>31447.5</v>
      </c>
      <c r="H17" s="33">
        <v>31133.024999999998</v>
      </c>
      <c r="I17" s="33">
        <v>8670.5249999999978</v>
      </c>
      <c r="J17" s="32" t="s">
        <v>239</v>
      </c>
    </row>
    <row r="18" spans="1:10" x14ac:dyDescent="0.25">
      <c r="A18" s="30" t="s">
        <v>224</v>
      </c>
      <c r="B18" s="30" t="s">
        <v>230</v>
      </c>
      <c r="C18" s="30" t="s">
        <v>231</v>
      </c>
      <c r="D18" s="30">
        <v>727</v>
      </c>
      <c r="E18" s="31">
        <v>10</v>
      </c>
      <c r="F18" s="31">
        <v>125</v>
      </c>
      <c r="G18" s="31">
        <v>90875</v>
      </c>
      <c r="H18" s="31">
        <v>89966.25</v>
      </c>
      <c r="I18" s="31">
        <v>2726.25</v>
      </c>
      <c r="J18" s="30" t="s">
        <v>218</v>
      </c>
    </row>
    <row r="19" spans="1:10" x14ac:dyDescent="0.25">
      <c r="A19" s="32" t="s">
        <v>226</v>
      </c>
      <c r="B19" s="32" t="s">
        <v>230</v>
      </c>
      <c r="C19" s="32" t="s">
        <v>231</v>
      </c>
      <c r="D19" s="32">
        <v>2905</v>
      </c>
      <c r="E19" s="33">
        <v>10</v>
      </c>
      <c r="F19" s="33">
        <v>300</v>
      </c>
      <c r="G19" s="33">
        <v>871500</v>
      </c>
      <c r="H19" s="33">
        <v>862785</v>
      </c>
      <c r="I19" s="33">
        <v>136535</v>
      </c>
      <c r="J19" s="32" t="s">
        <v>242</v>
      </c>
    </row>
    <row r="20" spans="1:10" x14ac:dyDescent="0.25">
      <c r="A20" s="30" t="s">
        <v>224</v>
      </c>
      <c r="B20" s="30" t="s">
        <v>230</v>
      </c>
      <c r="C20" s="30" t="s">
        <v>237</v>
      </c>
      <c r="D20" s="30">
        <v>663</v>
      </c>
      <c r="E20" s="31">
        <v>120</v>
      </c>
      <c r="F20" s="31">
        <v>125</v>
      </c>
      <c r="G20" s="31">
        <v>82875</v>
      </c>
      <c r="H20" s="31">
        <v>82046.25</v>
      </c>
      <c r="I20" s="31">
        <v>2486.25</v>
      </c>
      <c r="J20" s="30" t="s">
        <v>229</v>
      </c>
    </row>
    <row r="21" spans="1:10" x14ac:dyDescent="0.25">
      <c r="A21" s="32" t="s">
        <v>224</v>
      </c>
      <c r="B21" s="32" t="s">
        <v>230</v>
      </c>
      <c r="C21" s="32" t="s">
        <v>238</v>
      </c>
      <c r="D21" s="32">
        <v>727</v>
      </c>
      <c r="E21" s="33">
        <v>250</v>
      </c>
      <c r="F21" s="33">
        <v>125</v>
      </c>
      <c r="G21" s="33">
        <v>90875</v>
      </c>
      <c r="H21" s="33">
        <v>89966.25</v>
      </c>
      <c r="I21" s="33">
        <v>2726.25</v>
      </c>
      <c r="J21" s="32" t="s">
        <v>218</v>
      </c>
    </row>
    <row r="22" spans="1:10" x14ac:dyDescent="0.25">
      <c r="A22" s="30" t="s">
        <v>223</v>
      </c>
      <c r="B22" s="30" t="s">
        <v>230</v>
      </c>
      <c r="C22" s="30" t="s">
        <v>240</v>
      </c>
      <c r="D22" s="30">
        <v>1989</v>
      </c>
      <c r="E22" s="31">
        <v>260</v>
      </c>
      <c r="F22" s="31">
        <v>12</v>
      </c>
      <c r="G22" s="31">
        <v>23868</v>
      </c>
      <c r="H22" s="31">
        <v>23629.32</v>
      </c>
      <c r="I22" s="31">
        <v>17662.32</v>
      </c>
      <c r="J22" s="30" t="s">
        <v>233</v>
      </c>
    </row>
    <row r="23" spans="1:10" x14ac:dyDescent="0.25">
      <c r="A23" s="32" t="s">
        <v>223</v>
      </c>
      <c r="B23" s="32" t="s">
        <v>230</v>
      </c>
      <c r="C23" s="32" t="s">
        <v>221</v>
      </c>
      <c r="D23" s="32">
        <v>1142</v>
      </c>
      <c r="E23" s="33">
        <v>5</v>
      </c>
      <c r="F23" s="33">
        <v>12</v>
      </c>
      <c r="G23" s="33">
        <v>13704</v>
      </c>
      <c r="H23" s="33">
        <v>13429.92</v>
      </c>
      <c r="I23" s="33">
        <v>10003.92</v>
      </c>
      <c r="J23" s="32" t="s">
        <v>218</v>
      </c>
    </row>
    <row r="24" spans="1:10" x14ac:dyDescent="0.25">
      <c r="A24" s="30" t="s">
        <v>211</v>
      </c>
      <c r="B24" s="30" t="s">
        <v>230</v>
      </c>
      <c r="C24" s="30" t="s">
        <v>221</v>
      </c>
      <c r="D24" s="30">
        <v>1566</v>
      </c>
      <c r="E24" s="31">
        <v>5</v>
      </c>
      <c r="F24" s="31">
        <v>20</v>
      </c>
      <c r="G24" s="31">
        <v>31320</v>
      </c>
      <c r="H24" s="31">
        <v>30693.599999999999</v>
      </c>
      <c r="I24" s="31">
        <v>15033.599999999999</v>
      </c>
      <c r="J24" s="30" t="s">
        <v>234</v>
      </c>
    </row>
    <row r="25" spans="1:10" x14ac:dyDescent="0.25">
      <c r="A25" s="32" t="s">
        <v>223</v>
      </c>
      <c r="B25" s="32" t="s">
        <v>230</v>
      </c>
      <c r="C25" s="32" t="s">
        <v>231</v>
      </c>
      <c r="D25" s="32">
        <v>1142</v>
      </c>
      <c r="E25" s="33">
        <v>10</v>
      </c>
      <c r="F25" s="33">
        <v>12</v>
      </c>
      <c r="G25" s="33">
        <v>13704</v>
      </c>
      <c r="H25" s="33">
        <v>13429.92</v>
      </c>
      <c r="I25" s="33">
        <v>10003.92</v>
      </c>
      <c r="J25" s="32" t="s">
        <v>218</v>
      </c>
    </row>
    <row r="26" spans="1:10" x14ac:dyDescent="0.25">
      <c r="A26" s="30" t="s">
        <v>216</v>
      </c>
      <c r="B26" s="30" t="s">
        <v>230</v>
      </c>
      <c r="C26" s="30" t="s">
        <v>231</v>
      </c>
      <c r="D26" s="30">
        <v>1925</v>
      </c>
      <c r="E26" s="31">
        <v>10</v>
      </c>
      <c r="F26" s="31">
        <v>15</v>
      </c>
      <c r="G26" s="31">
        <v>28875</v>
      </c>
      <c r="H26" s="31">
        <v>28297.5</v>
      </c>
      <c r="I26" s="31">
        <v>9047.5</v>
      </c>
      <c r="J26" s="30" t="s">
        <v>236</v>
      </c>
    </row>
    <row r="27" spans="1:10" x14ac:dyDescent="0.25">
      <c r="A27" s="32" t="s">
        <v>211</v>
      </c>
      <c r="B27" s="32" t="s">
        <v>230</v>
      </c>
      <c r="C27" s="32" t="s">
        <v>231</v>
      </c>
      <c r="D27" s="32">
        <v>2013</v>
      </c>
      <c r="E27" s="33">
        <v>10</v>
      </c>
      <c r="F27" s="33">
        <v>7</v>
      </c>
      <c r="G27" s="33">
        <v>14091</v>
      </c>
      <c r="H27" s="33">
        <v>13809.18</v>
      </c>
      <c r="I27" s="33">
        <v>3744.1800000000003</v>
      </c>
      <c r="J27" s="32" t="s">
        <v>236</v>
      </c>
    </row>
    <row r="28" spans="1:10" x14ac:dyDescent="0.25">
      <c r="A28" s="30" t="s">
        <v>211</v>
      </c>
      <c r="B28" s="30" t="s">
        <v>230</v>
      </c>
      <c r="C28" s="30" t="s">
        <v>237</v>
      </c>
      <c r="D28" s="30">
        <v>1566</v>
      </c>
      <c r="E28" s="31">
        <v>120</v>
      </c>
      <c r="F28" s="31">
        <v>20</v>
      </c>
      <c r="G28" s="31">
        <v>31320</v>
      </c>
      <c r="H28" s="31">
        <v>30693.599999999999</v>
      </c>
      <c r="I28" s="31">
        <v>15033.599999999999</v>
      </c>
      <c r="J28" s="30" t="s">
        <v>234</v>
      </c>
    </row>
    <row r="29" spans="1:10" x14ac:dyDescent="0.25">
      <c r="A29" s="32" t="s">
        <v>211</v>
      </c>
      <c r="B29" s="32" t="s">
        <v>230</v>
      </c>
      <c r="C29" s="32" t="s">
        <v>238</v>
      </c>
      <c r="D29" s="32">
        <v>266</v>
      </c>
      <c r="E29" s="33">
        <v>250</v>
      </c>
      <c r="F29" s="33">
        <v>350</v>
      </c>
      <c r="G29" s="33">
        <v>93100</v>
      </c>
      <c r="H29" s="33">
        <v>91238</v>
      </c>
      <c r="I29" s="33">
        <v>22078</v>
      </c>
      <c r="J29" s="32" t="s">
        <v>236</v>
      </c>
    </row>
    <row r="30" spans="1:10" x14ac:dyDescent="0.25">
      <c r="A30" s="30" t="s">
        <v>211</v>
      </c>
      <c r="B30" s="30" t="s">
        <v>230</v>
      </c>
      <c r="C30" s="30" t="s">
        <v>240</v>
      </c>
      <c r="D30" s="30">
        <v>1236</v>
      </c>
      <c r="E30" s="31">
        <v>260</v>
      </c>
      <c r="F30" s="31">
        <v>20</v>
      </c>
      <c r="G30" s="31">
        <v>24720</v>
      </c>
      <c r="H30" s="31">
        <v>24225.599999999999</v>
      </c>
      <c r="I30" s="31">
        <v>11865.599999999999</v>
      </c>
      <c r="J30" s="30" t="s">
        <v>242</v>
      </c>
    </row>
    <row r="31" spans="1:10" x14ac:dyDescent="0.25">
      <c r="A31" s="32" t="s">
        <v>223</v>
      </c>
      <c r="B31" s="32" t="s">
        <v>230</v>
      </c>
      <c r="C31" s="32" t="s">
        <v>213</v>
      </c>
      <c r="D31" s="32">
        <v>1947</v>
      </c>
      <c r="E31" s="33">
        <v>3</v>
      </c>
      <c r="F31" s="33">
        <v>12</v>
      </c>
      <c r="G31" s="33">
        <v>23364</v>
      </c>
      <c r="H31" s="33">
        <v>22663.08</v>
      </c>
      <c r="I31" s="33">
        <v>16822.080000000002</v>
      </c>
      <c r="J31" s="32" t="s">
        <v>228</v>
      </c>
    </row>
    <row r="32" spans="1:10" x14ac:dyDescent="0.25">
      <c r="A32" s="30" t="s">
        <v>223</v>
      </c>
      <c r="B32" s="30" t="s">
        <v>230</v>
      </c>
      <c r="C32" s="30" t="s">
        <v>231</v>
      </c>
      <c r="D32" s="30">
        <v>1369.5</v>
      </c>
      <c r="E32" s="31">
        <v>10</v>
      </c>
      <c r="F32" s="31">
        <v>12</v>
      </c>
      <c r="G32" s="31">
        <v>16434</v>
      </c>
      <c r="H32" s="31">
        <v>15940.98</v>
      </c>
      <c r="I32" s="31">
        <v>11832.48</v>
      </c>
      <c r="J32" s="30" t="s">
        <v>225</v>
      </c>
    </row>
    <row r="33" spans="1:10" x14ac:dyDescent="0.25">
      <c r="A33" s="32" t="s">
        <v>226</v>
      </c>
      <c r="B33" s="32" t="s">
        <v>230</v>
      </c>
      <c r="C33" s="32" t="s">
        <v>238</v>
      </c>
      <c r="D33" s="32">
        <v>2844</v>
      </c>
      <c r="E33" s="33">
        <v>250</v>
      </c>
      <c r="F33" s="33">
        <v>300</v>
      </c>
      <c r="G33" s="33">
        <v>853200</v>
      </c>
      <c r="H33" s="33">
        <v>827604</v>
      </c>
      <c r="I33" s="33">
        <v>116604</v>
      </c>
      <c r="J33" s="32" t="s">
        <v>232</v>
      </c>
    </row>
    <row r="34" spans="1:10" x14ac:dyDescent="0.25">
      <c r="A34" s="30" t="s">
        <v>211</v>
      </c>
      <c r="B34" s="30" t="s">
        <v>230</v>
      </c>
      <c r="C34" s="30" t="s">
        <v>237</v>
      </c>
      <c r="D34" s="30">
        <v>736</v>
      </c>
      <c r="E34" s="31">
        <v>120</v>
      </c>
      <c r="F34" s="31">
        <v>20</v>
      </c>
      <c r="G34" s="31">
        <v>14720</v>
      </c>
      <c r="H34" s="31">
        <v>14131.2</v>
      </c>
      <c r="I34" s="31">
        <v>6771.2000000000007</v>
      </c>
      <c r="J34" s="30" t="s">
        <v>233</v>
      </c>
    </row>
    <row r="35" spans="1:10" x14ac:dyDescent="0.25">
      <c r="A35" s="32" t="s">
        <v>211</v>
      </c>
      <c r="B35" s="32" t="s">
        <v>230</v>
      </c>
      <c r="C35" s="32" t="s">
        <v>213</v>
      </c>
      <c r="D35" s="32">
        <v>274</v>
      </c>
      <c r="E35" s="33">
        <v>3</v>
      </c>
      <c r="F35" s="33">
        <v>350</v>
      </c>
      <c r="G35" s="33">
        <v>95900</v>
      </c>
      <c r="H35" s="33">
        <v>92064</v>
      </c>
      <c r="I35" s="33">
        <v>20824</v>
      </c>
      <c r="J35" s="32" t="s">
        <v>220</v>
      </c>
    </row>
    <row r="36" spans="1:10" x14ac:dyDescent="0.25">
      <c r="A36" s="30" t="s">
        <v>226</v>
      </c>
      <c r="B36" s="30" t="s">
        <v>230</v>
      </c>
      <c r="C36" s="30" t="s">
        <v>231</v>
      </c>
      <c r="D36" s="30">
        <v>2918</v>
      </c>
      <c r="E36" s="31">
        <v>10</v>
      </c>
      <c r="F36" s="31">
        <v>300</v>
      </c>
      <c r="G36" s="31">
        <v>875400</v>
      </c>
      <c r="H36" s="31">
        <v>840384</v>
      </c>
      <c r="I36" s="31">
        <v>110884</v>
      </c>
      <c r="J36" s="30" t="s">
        <v>241</v>
      </c>
    </row>
    <row r="37" spans="1:10" x14ac:dyDescent="0.25">
      <c r="A37" s="32" t="s">
        <v>211</v>
      </c>
      <c r="B37" s="32" t="s">
        <v>230</v>
      </c>
      <c r="C37" s="32" t="s">
        <v>231</v>
      </c>
      <c r="D37" s="32">
        <v>3450</v>
      </c>
      <c r="E37" s="33">
        <v>10</v>
      </c>
      <c r="F37" s="33">
        <v>350</v>
      </c>
      <c r="G37" s="33">
        <v>1207500</v>
      </c>
      <c r="H37" s="33">
        <v>1159200</v>
      </c>
      <c r="I37" s="33">
        <v>262200</v>
      </c>
      <c r="J37" s="32" t="s">
        <v>225</v>
      </c>
    </row>
    <row r="38" spans="1:10" x14ac:dyDescent="0.25">
      <c r="A38" s="30" t="s">
        <v>211</v>
      </c>
      <c r="B38" s="30" t="s">
        <v>230</v>
      </c>
      <c r="C38" s="30" t="s">
        <v>231</v>
      </c>
      <c r="D38" s="30">
        <v>1056</v>
      </c>
      <c r="E38" s="31">
        <v>10</v>
      </c>
      <c r="F38" s="31">
        <v>20</v>
      </c>
      <c r="G38" s="31">
        <v>21120</v>
      </c>
      <c r="H38" s="31">
        <v>20275.2</v>
      </c>
      <c r="I38" s="31">
        <v>9715.2000000000007</v>
      </c>
      <c r="J38" s="30" t="s">
        <v>228</v>
      </c>
    </row>
    <row r="39" spans="1:10" x14ac:dyDescent="0.25">
      <c r="A39" s="32" t="s">
        <v>216</v>
      </c>
      <c r="B39" s="32" t="s">
        <v>230</v>
      </c>
      <c r="C39" s="32" t="s">
        <v>231</v>
      </c>
      <c r="D39" s="32">
        <v>671</v>
      </c>
      <c r="E39" s="33">
        <v>10</v>
      </c>
      <c r="F39" s="33">
        <v>15</v>
      </c>
      <c r="G39" s="33">
        <v>10065</v>
      </c>
      <c r="H39" s="33">
        <v>9662.4</v>
      </c>
      <c r="I39" s="33">
        <v>2952.3999999999996</v>
      </c>
      <c r="J39" s="32" t="s">
        <v>229</v>
      </c>
    </row>
    <row r="40" spans="1:10" x14ac:dyDescent="0.25">
      <c r="A40" s="30" t="s">
        <v>211</v>
      </c>
      <c r="B40" s="30" t="s">
        <v>230</v>
      </c>
      <c r="C40" s="30" t="s">
        <v>231</v>
      </c>
      <c r="D40" s="30">
        <v>274</v>
      </c>
      <c r="E40" s="31">
        <v>10</v>
      </c>
      <c r="F40" s="31">
        <v>350</v>
      </c>
      <c r="G40" s="31">
        <v>95900</v>
      </c>
      <c r="H40" s="31">
        <v>92064</v>
      </c>
      <c r="I40" s="31">
        <v>20824</v>
      </c>
      <c r="J40" s="30" t="s">
        <v>220</v>
      </c>
    </row>
    <row r="41" spans="1:10" x14ac:dyDescent="0.25">
      <c r="A41" s="32" t="s">
        <v>223</v>
      </c>
      <c r="B41" s="32" t="s">
        <v>230</v>
      </c>
      <c r="C41" s="32" t="s">
        <v>237</v>
      </c>
      <c r="D41" s="32">
        <v>1465</v>
      </c>
      <c r="E41" s="33">
        <v>120</v>
      </c>
      <c r="F41" s="33">
        <v>12</v>
      </c>
      <c r="G41" s="33">
        <v>17580</v>
      </c>
      <c r="H41" s="33">
        <v>16876.8</v>
      </c>
      <c r="I41" s="33">
        <v>12481.8</v>
      </c>
      <c r="J41" s="32" t="s">
        <v>222</v>
      </c>
    </row>
    <row r="42" spans="1:10" x14ac:dyDescent="0.25">
      <c r="A42" s="30" t="s">
        <v>211</v>
      </c>
      <c r="B42" s="30" t="s">
        <v>230</v>
      </c>
      <c r="C42" s="30" t="s">
        <v>238</v>
      </c>
      <c r="D42" s="30">
        <v>349</v>
      </c>
      <c r="E42" s="31">
        <v>250</v>
      </c>
      <c r="F42" s="31">
        <v>350</v>
      </c>
      <c r="G42" s="31">
        <v>122150</v>
      </c>
      <c r="H42" s="31">
        <v>117264</v>
      </c>
      <c r="I42" s="31">
        <v>26524</v>
      </c>
      <c r="J42" s="30" t="s">
        <v>233</v>
      </c>
    </row>
    <row r="43" spans="1:10" x14ac:dyDescent="0.25">
      <c r="A43" s="32" t="s">
        <v>216</v>
      </c>
      <c r="B43" s="32" t="s">
        <v>230</v>
      </c>
      <c r="C43" s="32" t="s">
        <v>240</v>
      </c>
      <c r="D43" s="32">
        <v>671</v>
      </c>
      <c r="E43" s="33">
        <v>260</v>
      </c>
      <c r="F43" s="33">
        <v>15</v>
      </c>
      <c r="G43" s="33">
        <v>10065</v>
      </c>
      <c r="H43" s="33">
        <v>9662.4</v>
      </c>
      <c r="I43" s="33">
        <v>2952.3999999999996</v>
      </c>
      <c r="J43" s="32" t="s">
        <v>229</v>
      </c>
    </row>
    <row r="44" spans="1:10" x14ac:dyDescent="0.25">
      <c r="A44" s="30" t="s">
        <v>226</v>
      </c>
      <c r="B44" s="30" t="s">
        <v>230</v>
      </c>
      <c r="C44" s="30" t="s">
        <v>213</v>
      </c>
      <c r="D44" s="30">
        <v>991</v>
      </c>
      <c r="E44" s="31">
        <v>3</v>
      </c>
      <c r="F44" s="31">
        <v>300</v>
      </c>
      <c r="G44" s="31">
        <v>297300</v>
      </c>
      <c r="H44" s="31">
        <v>282435</v>
      </c>
      <c r="I44" s="31">
        <v>34685</v>
      </c>
      <c r="J44" s="30" t="s">
        <v>218</v>
      </c>
    </row>
    <row r="45" spans="1:10" x14ac:dyDescent="0.25">
      <c r="A45" s="32" t="s">
        <v>211</v>
      </c>
      <c r="B45" s="32" t="s">
        <v>230</v>
      </c>
      <c r="C45" s="32" t="s">
        <v>213</v>
      </c>
      <c r="D45" s="32">
        <v>570</v>
      </c>
      <c r="E45" s="33">
        <v>3</v>
      </c>
      <c r="F45" s="33">
        <v>7</v>
      </c>
      <c r="G45" s="33">
        <v>3990</v>
      </c>
      <c r="H45" s="33">
        <v>3790.5</v>
      </c>
      <c r="I45" s="33">
        <v>940.5</v>
      </c>
      <c r="J45" s="32" t="s">
        <v>220</v>
      </c>
    </row>
    <row r="46" spans="1:10" x14ac:dyDescent="0.25">
      <c r="A46" s="30" t="s">
        <v>224</v>
      </c>
      <c r="B46" s="30" t="s">
        <v>230</v>
      </c>
      <c r="C46" s="30" t="s">
        <v>221</v>
      </c>
      <c r="D46" s="30">
        <v>3627</v>
      </c>
      <c r="E46" s="31">
        <v>5</v>
      </c>
      <c r="F46" s="31">
        <v>125</v>
      </c>
      <c r="G46" s="31">
        <v>453375</v>
      </c>
      <c r="H46" s="31">
        <v>430706.25</v>
      </c>
      <c r="I46" s="31">
        <v>-4533.75</v>
      </c>
      <c r="J46" s="30" t="s">
        <v>225</v>
      </c>
    </row>
    <row r="47" spans="1:10" x14ac:dyDescent="0.25">
      <c r="A47" s="32" t="s">
        <v>224</v>
      </c>
      <c r="B47" s="32" t="s">
        <v>230</v>
      </c>
      <c r="C47" s="32" t="s">
        <v>231</v>
      </c>
      <c r="D47" s="32">
        <v>2992</v>
      </c>
      <c r="E47" s="33">
        <v>10</v>
      </c>
      <c r="F47" s="33">
        <v>125</v>
      </c>
      <c r="G47" s="33">
        <v>374000</v>
      </c>
      <c r="H47" s="33">
        <v>355300</v>
      </c>
      <c r="I47" s="33">
        <v>-3740</v>
      </c>
      <c r="J47" s="32" t="s">
        <v>222</v>
      </c>
    </row>
    <row r="48" spans="1:10" x14ac:dyDescent="0.25">
      <c r="A48" s="30" t="s">
        <v>211</v>
      </c>
      <c r="B48" s="30" t="s">
        <v>230</v>
      </c>
      <c r="C48" s="30" t="s">
        <v>231</v>
      </c>
      <c r="D48" s="30">
        <v>2327</v>
      </c>
      <c r="E48" s="31">
        <v>10</v>
      </c>
      <c r="F48" s="31">
        <v>7</v>
      </c>
      <c r="G48" s="31">
        <v>16289</v>
      </c>
      <c r="H48" s="31">
        <v>15474.55</v>
      </c>
      <c r="I48" s="31">
        <v>3839.5499999999993</v>
      </c>
      <c r="J48" s="30" t="s">
        <v>241</v>
      </c>
    </row>
    <row r="49" spans="1:10" x14ac:dyDescent="0.25">
      <c r="A49" s="32" t="s">
        <v>226</v>
      </c>
      <c r="B49" s="32" t="s">
        <v>230</v>
      </c>
      <c r="C49" s="32" t="s">
        <v>231</v>
      </c>
      <c r="D49" s="32">
        <v>991</v>
      </c>
      <c r="E49" s="33">
        <v>10</v>
      </c>
      <c r="F49" s="33">
        <v>300</v>
      </c>
      <c r="G49" s="33">
        <v>297300</v>
      </c>
      <c r="H49" s="33">
        <v>282435</v>
      </c>
      <c r="I49" s="33">
        <v>34685</v>
      </c>
      <c r="J49" s="32" t="s">
        <v>218</v>
      </c>
    </row>
    <row r="50" spans="1:10" x14ac:dyDescent="0.25">
      <c r="A50" s="30" t="s">
        <v>211</v>
      </c>
      <c r="B50" s="30" t="s">
        <v>230</v>
      </c>
      <c r="C50" s="30" t="s">
        <v>231</v>
      </c>
      <c r="D50" s="30">
        <v>602</v>
      </c>
      <c r="E50" s="31">
        <v>10</v>
      </c>
      <c r="F50" s="31">
        <v>350</v>
      </c>
      <c r="G50" s="31">
        <v>210700</v>
      </c>
      <c r="H50" s="31">
        <v>200165</v>
      </c>
      <c r="I50" s="31">
        <v>43645</v>
      </c>
      <c r="J50" s="30" t="s">
        <v>218</v>
      </c>
    </row>
    <row r="51" spans="1:10" x14ac:dyDescent="0.25">
      <c r="A51" s="32" t="s">
        <v>224</v>
      </c>
      <c r="B51" s="32" t="s">
        <v>230</v>
      </c>
      <c r="C51" s="32" t="s">
        <v>231</v>
      </c>
      <c r="D51" s="32">
        <v>861</v>
      </c>
      <c r="E51" s="33">
        <v>10</v>
      </c>
      <c r="F51" s="33">
        <v>125</v>
      </c>
      <c r="G51" s="33">
        <v>107625</v>
      </c>
      <c r="H51" s="33">
        <v>102243.75</v>
      </c>
      <c r="I51" s="33">
        <v>-1076.25</v>
      </c>
      <c r="J51" s="32" t="s">
        <v>234</v>
      </c>
    </row>
    <row r="52" spans="1:10" x14ac:dyDescent="0.25">
      <c r="A52" s="30" t="s">
        <v>211</v>
      </c>
      <c r="B52" s="30" t="s">
        <v>230</v>
      </c>
      <c r="C52" s="30" t="s">
        <v>231</v>
      </c>
      <c r="D52" s="30">
        <v>2663</v>
      </c>
      <c r="E52" s="31">
        <v>10</v>
      </c>
      <c r="F52" s="31">
        <v>20</v>
      </c>
      <c r="G52" s="31">
        <v>53260</v>
      </c>
      <c r="H52" s="31">
        <v>50597</v>
      </c>
      <c r="I52" s="31">
        <v>23967</v>
      </c>
      <c r="J52" s="30" t="s">
        <v>220</v>
      </c>
    </row>
    <row r="53" spans="1:10" x14ac:dyDescent="0.25">
      <c r="A53" s="32" t="s">
        <v>216</v>
      </c>
      <c r="B53" s="32" t="s">
        <v>230</v>
      </c>
      <c r="C53" s="32" t="s">
        <v>237</v>
      </c>
      <c r="D53" s="32">
        <v>555</v>
      </c>
      <c r="E53" s="33">
        <v>120</v>
      </c>
      <c r="F53" s="33">
        <v>15</v>
      </c>
      <c r="G53" s="33">
        <v>8325</v>
      </c>
      <c r="H53" s="33">
        <v>7908.75</v>
      </c>
      <c r="I53" s="33">
        <v>2358.75</v>
      </c>
      <c r="J53" s="32" t="s">
        <v>214</v>
      </c>
    </row>
    <row r="54" spans="1:10" x14ac:dyDescent="0.25">
      <c r="A54" s="30" t="s">
        <v>211</v>
      </c>
      <c r="B54" s="30" t="s">
        <v>230</v>
      </c>
      <c r="C54" s="30" t="s">
        <v>237</v>
      </c>
      <c r="D54" s="30">
        <v>602</v>
      </c>
      <c r="E54" s="31">
        <v>120</v>
      </c>
      <c r="F54" s="31">
        <v>350</v>
      </c>
      <c r="G54" s="31">
        <v>210700</v>
      </c>
      <c r="H54" s="31">
        <v>200165</v>
      </c>
      <c r="I54" s="31">
        <v>43645</v>
      </c>
      <c r="J54" s="30" t="s">
        <v>218</v>
      </c>
    </row>
    <row r="55" spans="1:10" x14ac:dyDescent="0.25">
      <c r="A55" s="32" t="s">
        <v>211</v>
      </c>
      <c r="B55" s="32" t="s">
        <v>230</v>
      </c>
      <c r="C55" s="32" t="s">
        <v>237</v>
      </c>
      <c r="D55" s="32">
        <v>2832</v>
      </c>
      <c r="E55" s="33">
        <v>120</v>
      </c>
      <c r="F55" s="33">
        <v>20</v>
      </c>
      <c r="G55" s="33">
        <v>56640</v>
      </c>
      <c r="H55" s="33">
        <v>53808</v>
      </c>
      <c r="I55" s="33">
        <v>25488</v>
      </c>
      <c r="J55" s="32" t="s">
        <v>227</v>
      </c>
    </row>
    <row r="56" spans="1:10" x14ac:dyDescent="0.25">
      <c r="A56" s="30" t="s">
        <v>224</v>
      </c>
      <c r="B56" s="30" t="s">
        <v>230</v>
      </c>
      <c r="C56" s="30" t="s">
        <v>237</v>
      </c>
      <c r="D56" s="30">
        <v>861</v>
      </c>
      <c r="E56" s="31">
        <v>120</v>
      </c>
      <c r="F56" s="31">
        <v>125</v>
      </c>
      <c r="G56" s="31">
        <v>107625</v>
      </c>
      <c r="H56" s="31">
        <v>102243.75</v>
      </c>
      <c r="I56" s="31">
        <v>-1076.25</v>
      </c>
      <c r="J56" s="30" t="s">
        <v>234</v>
      </c>
    </row>
    <row r="57" spans="1:10" x14ac:dyDescent="0.25">
      <c r="A57" s="32" t="s">
        <v>211</v>
      </c>
      <c r="B57" s="32" t="s">
        <v>230</v>
      </c>
      <c r="C57" s="32" t="s">
        <v>238</v>
      </c>
      <c r="D57" s="32">
        <v>1265</v>
      </c>
      <c r="E57" s="33">
        <v>250</v>
      </c>
      <c r="F57" s="33">
        <v>20</v>
      </c>
      <c r="G57" s="33">
        <v>25300</v>
      </c>
      <c r="H57" s="33">
        <v>24035</v>
      </c>
      <c r="I57" s="33">
        <v>11385</v>
      </c>
      <c r="J57" s="32" t="s">
        <v>235</v>
      </c>
    </row>
    <row r="58" spans="1:10" x14ac:dyDescent="0.25">
      <c r="A58" s="30" t="s">
        <v>211</v>
      </c>
      <c r="B58" s="30" t="s">
        <v>230</v>
      </c>
      <c r="C58" s="30" t="s">
        <v>238</v>
      </c>
      <c r="D58" s="30">
        <v>2663</v>
      </c>
      <c r="E58" s="31">
        <v>250</v>
      </c>
      <c r="F58" s="31">
        <v>20</v>
      </c>
      <c r="G58" s="31">
        <v>53260</v>
      </c>
      <c r="H58" s="31">
        <v>50597</v>
      </c>
      <c r="I58" s="31">
        <v>23967</v>
      </c>
      <c r="J58" s="30" t="s">
        <v>220</v>
      </c>
    </row>
    <row r="59" spans="1:10" x14ac:dyDescent="0.25">
      <c r="A59" s="32" t="s">
        <v>211</v>
      </c>
      <c r="B59" s="32" t="s">
        <v>230</v>
      </c>
      <c r="C59" s="32" t="s">
        <v>238</v>
      </c>
      <c r="D59" s="32">
        <v>570</v>
      </c>
      <c r="E59" s="33">
        <v>250</v>
      </c>
      <c r="F59" s="33">
        <v>7</v>
      </c>
      <c r="G59" s="33">
        <v>3990</v>
      </c>
      <c r="H59" s="33">
        <v>3790.5</v>
      </c>
      <c r="I59" s="33">
        <v>940.5</v>
      </c>
      <c r="J59" s="32" t="s">
        <v>220</v>
      </c>
    </row>
    <row r="60" spans="1:10" x14ac:dyDescent="0.25">
      <c r="A60" s="30" t="s">
        <v>211</v>
      </c>
      <c r="B60" s="30" t="s">
        <v>230</v>
      </c>
      <c r="C60" s="30" t="s">
        <v>213</v>
      </c>
      <c r="D60" s="30">
        <v>1117.5</v>
      </c>
      <c r="E60" s="31">
        <v>3</v>
      </c>
      <c r="F60" s="31">
        <v>20</v>
      </c>
      <c r="G60" s="31">
        <v>22350</v>
      </c>
      <c r="H60" s="31">
        <v>21009</v>
      </c>
      <c r="I60" s="31">
        <v>9834</v>
      </c>
      <c r="J60" s="30" t="s">
        <v>214</v>
      </c>
    </row>
    <row r="61" spans="1:10" x14ac:dyDescent="0.25">
      <c r="A61" s="32" t="s">
        <v>216</v>
      </c>
      <c r="B61" s="32" t="s">
        <v>230</v>
      </c>
      <c r="C61" s="32" t="s">
        <v>213</v>
      </c>
      <c r="D61" s="32">
        <v>2030</v>
      </c>
      <c r="E61" s="33">
        <v>3</v>
      </c>
      <c r="F61" s="33">
        <v>15</v>
      </c>
      <c r="G61" s="33">
        <v>30450</v>
      </c>
      <c r="H61" s="33">
        <v>28623</v>
      </c>
      <c r="I61" s="33">
        <v>8323</v>
      </c>
      <c r="J61" s="32" t="s">
        <v>242</v>
      </c>
    </row>
    <row r="62" spans="1:10" x14ac:dyDescent="0.25">
      <c r="A62" s="30" t="s">
        <v>211</v>
      </c>
      <c r="B62" s="30" t="s">
        <v>230</v>
      </c>
      <c r="C62" s="30" t="s">
        <v>213</v>
      </c>
      <c r="D62" s="30">
        <v>263</v>
      </c>
      <c r="E62" s="31">
        <v>3</v>
      </c>
      <c r="F62" s="31">
        <v>7</v>
      </c>
      <c r="G62" s="31">
        <v>1841</v>
      </c>
      <c r="H62" s="31">
        <v>1730.54</v>
      </c>
      <c r="I62" s="31">
        <v>415.53999999999996</v>
      </c>
      <c r="J62" s="30" t="s">
        <v>235</v>
      </c>
    </row>
    <row r="63" spans="1:10" x14ac:dyDescent="0.25">
      <c r="A63" s="32" t="s">
        <v>223</v>
      </c>
      <c r="B63" s="32" t="s">
        <v>230</v>
      </c>
      <c r="C63" s="32" t="s">
        <v>221</v>
      </c>
      <c r="D63" s="32">
        <v>2723</v>
      </c>
      <c r="E63" s="33">
        <v>5</v>
      </c>
      <c r="F63" s="33">
        <v>12</v>
      </c>
      <c r="G63" s="33">
        <v>32676</v>
      </c>
      <c r="H63" s="33">
        <v>30715.439999999999</v>
      </c>
      <c r="I63" s="33">
        <v>22546.44</v>
      </c>
      <c r="J63" s="32" t="s">
        <v>242</v>
      </c>
    </row>
    <row r="64" spans="1:10" x14ac:dyDescent="0.25">
      <c r="A64" s="30" t="s">
        <v>211</v>
      </c>
      <c r="B64" s="30" t="s">
        <v>230</v>
      </c>
      <c r="C64" s="30" t="s">
        <v>231</v>
      </c>
      <c r="D64" s="30">
        <v>727</v>
      </c>
      <c r="E64" s="31">
        <v>10</v>
      </c>
      <c r="F64" s="31">
        <v>350</v>
      </c>
      <c r="G64" s="31">
        <v>254450</v>
      </c>
      <c r="H64" s="31">
        <v>239183</v>
      </c>
      <c r="I64" s="31">
        <v>50163</v>
      </c>
      <c r="J64" s="30" t="s">
        <v>229</v>
      </c>
    </row>
    <row r="65" spans="1:10" x14ac:dyDescent="0.25">
      <c r="A65" s="32" t="s">
        <v>224</v>
      </c>
      <c r="B65" s="32" t="s">
        <v>230</v>
      </c>
      <c r="C65" s="32" t="s">
        <v>237</v>
      </c>
      <c r="D65" s="32">
        <v>2755</v>
      </c>
      <c r="E65" s="33">
        <v>120</v>
      </c>
      <c r="F65" s="33">
        <v>125</v>
      </c>
      <c r="G65" s="33">
        <v>344375</v>
      </c>
      <c r="H65" s="33">
        <v>323712.5</v>
      </c>
      <c r="I65" s="33">
        <v>-6887.5</v>
      </c>
      <c r="J65" s="32" t="s">
        <v>232</v>
      </c>
    </row>
    <row r="66" spans="1:10" x14ac:dyDescent="0.25">
      <c r="A66" s="30" t="s">
        <v>211</v>
      </c>
      <c r="B66" s="30" t="s">
        <v>230</v>
      </c>
      <c r="C66" s="30" t="s">
        <v>240</v>
      </c>
      <c r="D66" s="30">
        <v>727</v>
      </c>
      <c r="E66" s="31">
        <v>260</v>
      </c>
      <c r="F66" s="31">
        <v>350</v>
      </c>
      <c r="G66" s="31">
        <v>254450</v>
      </c>
      <c r="H66" s="31">
        <v>239183</v>
      </c>
      <c r="I66" s="31">
        <v>50163</v>
      </c>
      <c r="J66" s="30" t="s">
        <v>229</v>
      </c>
    </row>
    <row r="67" spans="1:10" x14ac:dyDescent="0.25">
      <c r="A67" s="32" t="s">
        <v>216</v>
      </c>
      <c r="B67" s="32" t="s">
        <v>230</v>
      </c>
      <c r="C67" s="32" t="s">
        <v>231</v>
      </c>
      <c r="D67" s="32">
        <v>2198</v>
      </c>
      <c r="E67" s="33">
        <v>10</v>
      </c>
      <c r="F67" s="33">
        <v>15</v>
      </c>
      <c r="G67" s="33">
        <v>32970</v>
      </c>
      <c r="H67" s="33">
        <v>30991.8</v>
      </c>
      <c r="I67" s="33">
        <v>9011.7999999999993</v>
      </c>
      <c r="J67" s="32" t="s">
        <v>227</v>
      </c>
    </row>
    <row r="68" spans="1:10" x14ac:dyDescent="0.25">
      <c r="A68" s="30" t="s">
        <v>216</v>
      </c>
      <c r="B68" s="30" t="s">
        <v>230</v>
      </c>
      <c r="C68" s="30" t="s">
        <v>231</v>
      </c>
      <c r="D68" s="30">
        <v>1153</v>
      </c>
      <c r="E68" s="31">
        <v>10</v>
      </c>
      <c r="F68" s="31">
        <v>15</v>
      </c>
      <c r="G68" s="31">
        <v>17295</v>
      </c>
      <c r="H68" s="31">
        <v>16257.3</v>
      </c>
      <c r="I68" s="31">
        <v>4727.2999999999993</v>
      </c>
      <c r="J68" s="30" t="s">
        <v>234</v>
      </c>
    </row>
    <row r="69" spans="1:10" x14ac:dyDescent="0.25">
      <c r="A69" s="32" t="s">
        <v>216</v>
      </c>
      <c r="B69" s="32" t="s">
        <v>230</v>
      </c>
      <c r="C69" s="32" t="s">
        <v>238</v>
      </c>
      <c r="D69" s="32">
        <v>1153</v>
      </c>
      <c r="E69" s="33">
        <v>250</v>
      </c>
      <c r="F69" s="33">
        <v>15</v>
      </c>
      <c r="G69" s="33">
        <v>17295</v>
      </c>
      <c r="H69" s="33">
        <v>16257.3</v>
      </c>
      <c r="I69" s="33">
        <v>4727.2999999999993</v>
      </c>
      <c r="J69" s="32" t="s">
        <v>234</v>
      </c>
    </row>
    <row r="70" spans="1:10" x14ac:dyDescent="0.25">
      <c r="A70" s="30" t="s">
        <v>211</v>
      </c>
      <c r="B70" s="30" t="s">
        <v>230</v>
      </c>
      <c r="C70" s="30" t="s">
        <v>237</v>
      </c>
      <c r="D70" s="30">
        <v>547</v>
      </c>
      <c r="E70" s="31">
        <v>120</v>
      </c>
      <c r="F70" s="31">
        <v>7</v>
      </c>
      <c r="G70" s="31">
        <v>3829</v>
      </c>
      <c r="H70" s="31">
        <v>3560.9700000000003</v>
      </c>
      <c r="I70" s="31">
        <v>825.97000000000025</v>
      </c>
      <c r="J70" s="30" t="s">
        <v>242</v>
      </c>
    </row>
    <row r="71" spans="1:10" x14ac:dyDescent="0.25">
      <c r="A71" s="32" t="s">
        <v>211</v>
      </c>
      <c r="B71" s="32" t="s">
        <v>230</v>
      </c>
      <c r="C71" s="32" t="s">
        <v>213</v>
      </c>
      <c r="D71" s="32">
        <v>1761</v>
      </c>
      <c r="E71" s="33">
        <v>3</v>
      </c>
      <c r="F71" s="33">
        <v>350</v>
      </c>
      <c r="G71" s="33">
        <v>616350</v>
      </c>
      <c r="H71" s="33">
        <v>573205.5</v>
      </c>
      <c r="I71" s="33">
        <v>115345.5</v>
      </c>
      <c r="J71" s="32" t="s">
        <v>222</v>
      </c>
    </row>
    <row r="72" spans="1:10" x14ac:dyDescent="0.25">
      <c r="A72" s="30" t="s">
        <v>216</v>
      </c>
      <c r="B72" s="30" t="s">
        <v>230</v>
      </c>
      <c r="C72" s="30" t="s">
        <v>231</v>
      </c>
      <c r="D72" s="30">
        <v>2931</v>
      </c>
      <c r="E72" s="31">
        <v>10</v>
      </c>
      <c r="F72" s="31">
        <v>15</v>
      </c>
      <c r="G72" s="31">
        <v>43965</v>
      </c>
      <c r="H72" s="31">
        <v>40887.449999999997</v>
      </c>
      <c r="I72" s="31">
        <v>11577.449999999997</v>
      </c>
      <c r="J72" s="30" t="s">
        <v>233</v>
      </c>
    </row>
    <row r="73" spans="1:10" x14ac:dyDescent="0.25">
      <c r="A73" s="32" t="s">
        <v>211</v>
      </c>
      <c r="B73" s="32" t="s">
        <v>230</v>
      </c>
      <c r="C73" s="32" t="s">
        <v>237</v>
      </c>
      <c r="D73" s="32">
        <v>1421</v>
      </c>
      <c r="E73" s="33">
        <v>120</v>
      </c>
      <c r="F73" s="33">
        <v>20</v>
      </c>
      <c r="G73" s="33">
        <v>28420</v>
      </c>
      <c r="H73" s="33">
        <v>26430.6</v>
      </c>
      <c r="I73" s="33">
        <v>12220.599999999999</v>
      </c>
      <c r="J73" s="32" t="s">
        <v>236</v>
      </c>
    </row>
    <row r="74" spans="1:10" x14ac:dyDescent="0.25">
      <c r="A74" s="30" t="s">
        <v>226</v>
      </c>
      <c r="B74" s="30" t="s">
        <v>230</v>
      </c>
      <c r="C74" s="30" t="s">
        <v>237</v>
      </c>
      <c r="D74" s="30">
        <v>1372</v>
      </c>
      <c r="E74" s="31">
        <v>120</v>
      </c>
      <c r="F74" s="31">
        <v>300</v>
      </c>
      <c r="G74" s="31">
        <v>411600</v>
      </c>
      <c r="H74" s="31">
        <v>382788</v>
      </c>
      <c r="I74" s="31">
        <v>39788</v>
      </c>
      <c r="J74" s="30" t="s">
        <v>220</v>
      </c>
    </row>
    <row r="75" spans="1:10" x14ac:dyDescent="0.25">
      <c r="A75" s="32" t="s">
        <v>226</v>
      </c>
      <c r="B75" s="32" t="s">
        <v>230</v>
      </c>
      <c r="C75" s="32" t="s">
        <v>240</v>
      </c>
      <c r="D75" s="32">
        <v>1372</v>
      </c>
      <c r="E75" s="33">
        <v>260</v>
      </c>
      <c r="F75" s="33">
        <v>300</v>
      </c>
      <c r="G75" s="33">
        <v>411600</v>
      </c>
      <c r="H75" s="33">
        <v>382788</v>
      </c>
      <c r="I75" s="33">
        <v>39788</v>
      </c>
      <c r="J75" s="32" t="s">
        <v>220</v>
      </c>
    </row>
    <row r="76" spans="1:10" x14ac:dyDescent="0.25">
      <c r="A76" s="30" t="s">
        <v>211</v>
      </c>
      <c r="B76" s="30" t="s">
        <v>230</v>
      </c>
      <c r="C76" s="30" t="s">
        <v>221</v>
      </c>
      <c r="D76" s="30">
        <v>1282</v>
      </c>
      <c r="E76" s="31">
        <v>5</v>
      </c>
      <c r="F76" s="31">
        <v>20</v>
      </c>
      <c r="G76" s="31">
        <v>25640</v>
      </c>
      <c r="H76" s="31">
        <v>23588.799999999999</v>
      </c>
      <c r="I76" s="31">
        <v>10768.8</v>
      </c>
      <c r="J76" s="30" t="s">
        <v>218</v>
      </c>
    </row>
    <row r="77" spans="1:10" x14ac:dyDescent="0.25">
      <c r="A77" s="32" t="s">
        <v>211</v>
      </c>
      <c r="B77" s="32" t="s">
        <v>230</v>
      </c>
      <c r="C77" s="32" t="s">
        <v>240</v>
      </c>
      <c r="D77" s="32">
        <v>1282</v>
      </c>
      <c r="E77" s="33">
        <v>260</v>
      </c>
      <c r="F77" s="33">
        <v>20</v>
      </c>
      <c r="G77" s="33">
        <v>25640</v>
      </c>
      <c r="H77" s="33">
        <v>23588.799999999999</v>
      </c>
      <c r="I77" s="33">
        <v>10768.8</v>
      </c>
      <c r="J77" s="32" t="s">
        <v>218</v>
      </c>
    </row>
    <row r="78" spans="1:10" x14ac:dyDescent="0.25">
      <c r="A78" s="30" t="s">
        <v>211</v>
      </c>
      <c r="B78" s="30" t="s">
        <v>230</v>
      </c>
      <c r="C78" s="30" t="s">
        <v>231</v>
      </c>
      <c r="D78" s="30">
        <v>678</v>
      </c>
      <c r="E78" s="31">
        <v>10</v>
      </c>
      <c r="F78" s="31">
        <v>7</v>
      </c>
      <c r="G78" s="31">
        <v>4746</v>
      </c>
      <c r="H78" s="31">
        <v>4366.32</v>
      </c>
      <c r="I78" s="31">
        <v>976.31999999999971</v>
      </c>
      <c r="J78" s="30" t="s">
        <v>227</v>
      </c>
    </row>
    <row r="79" spans="1:10" x14ac:dyDescent="0.25">
      <c r="A79" s="32" t="s">
        <v>211</v>
      </c>
      <c r="B79" s="32" t="s">
        <v>230</v>
      </c>
      <c r="C79" s="32" t="s">
        <v>237</v>
      </c>
      <c r="D79" s="32">
        <v>2907</v>
      </c>
      <c r="E79" s="33">
        <v>120</v>
      </c>
      <c r="F79" s="33">
        <v>7</v>
      </c>
      <c r="G79" s="33">
        <v>20349</v>
      </c>
      <c r="H79" s="33">
        <v>18721.080000000002</v>
      </c>
      <c r="I79" s="33">
        <v>4186.0800000000017</v>
      </c>
      <c r="J79" s="32" t="s">
        <v>218</v>
      </c>
    </row>
    <row r="80" spans="1:10" x14ac:dyDescent="0.25">
      <c r="A80" s="30" t="s">
        <v>226</v>
      </c>
      <c r="B80" s="30" t="s">
        <v>230</v>
      </c>
      <c r="C80" s="30" t="s">
        <v>238</v>
      </c>
      <c r="D80" s="30">
        <v>808</v>
      </c>
      <c r="E80" s="31">
        <v>250</v>
      </c>
      <c r="F80" s="31">
        <v>300</v>
      </c>
      <c r="G80" s="31">
        <v>242400</v>
      </c>
      <c r="H80" s="31">
        <v>223008</v>
      </c>
      <c r="I80" s="31">
        <v>21008</v>
      </c>
      <c r="J80" s="30" t="s">
        <v>236</v>
      </c>
    </row>
    <row r="81" spans="1:10" x14ac:dyDescent="0.25">
      <c r="A81" s="32" t="s">
        <v>211</v>
      </c>
      <c r="B81" s="32" t="s">
        <v>230</v>
      </c>
      <c r="C81" s="32" t="s">
        <v>240</v>
      </c>
      <c r="D81" s="32">
        <v>2907</v>
      </c>
      <c r="E81" s="33">
        <v>260</v>
      </c>
      <c r="F81" s="33">
        <v>7</v>
      </c>
      <c r="G81" s="33">
        <v>20349</v>
      </c>
      <c r="H81" s="33">
        <v>18721.080000000002</v>
      </c>
      <c r="I81" s="33">
        <v>4186.0800000000017</v>
      </c>
      <c r="J81" s="32" t="s">
        <v>218</v>
      </c>
    </row>
    <row r="82" spans="1:10" x14ac:dyDescent="0.25">
      <c r="A82" s="30" t="s">
        <v>211</v>
      </c>
      <c r="B82" s="30" t="s">
        <v>230</v>
      </c>
      <c r="C82" s="30" t="s">
        <v>238</v>
      </c>
      <c r="D82" s="30">
        <v>436.5</v>
      </c>
      <c r="E82" s="31">
        <v>250</v>
      </c>
      <c r="F82" s="31">
        <v>20</v>
      </c>
      <c r="G82" s="31">
        <v>8730</v>
      </c>
      <c r="H82" s="31">
        <v>8031.5999999999995</v>
      </c>
      <c r="I82" s="31">
        <v>3666.5999999999995</v>
      </c>
      <c r="J82" s="30" t="s">
        <v>225</v>
      </c>
    </row>
    <row r="83" spans="1:10" x14ac:dyDescent="0.25">
      <c r="A83" s="32" t="s">
        <v>224</v>
      </c>
      <c r="B83" s="32" t="s">
        <v>230</v>
      </c>
      <c r="C83" s="32" t="s">
        <v>221</v>
      </c>
      <c r="D83" s="32">
        <v>2797</v>
      </c>
      <c r="E83" s="33">
        <v>5</v>
      </c>
      <c r="F83" s="33">
        <v>125</v>
      </c>
      <c r="G83" s="33">
        <v>349625</v>
      </c>
      <c r="H83" s="33">
        <v>318158.75</v>
      </c>
      <c r="I83" s="33">
        <v>-17481.25</v>
      </c>
      <c r="J83" s="32" t="s">
        <v>220</v>
      </c>
    </row>
    <row r="84" spans="1:10" x14ac:dyDescent="0.25">
      <c r="A84" s="30" t="s">
        <v>216</v>
      </c>
      <c r="B84" s="30" t="s">
        <v>230</v>
      </c>
      <c r="C84" s="30" t="s">
        <v>231</v>
      </c>
      <c r="D84" s="30">
        <v>3675</v>
      </c>
      <c r="E84" s="31">
        <v>10</v>
      </c>
      <c r="F84" s="31">
        <v>15</v>
      </c>
      <c r="G84" s="31">
        <v>55125</v>
      </c>
      <c r="H84" s="31">
        <v>50163.75</v>
      </c>
      <c r="I84" s="31">
        <v>13413.75</v>
      </c>
      <c r="J84" s="30" t="s">
        <v>239</v>
      </c>
    </row>
    <row r="85" spans="1:10" x14ac:dyDescent="0.25">
      <c r="A85" s="32" t="s">
        <v>224</v>
      </c>
      <c r="B85" s="32" t="s">
        <v>230</v>
      </c>
      <c r="C85" s="32" t="s">
        <v>231</v>
      </c>
      <c r="D85" s="32">
        <v>2797</v>
      </c>
      <c r="E85" s="33">
        <v>10</v>
      </c>
      <c r="F85" s="33">
        <v>125</v>
      </c>
      <c r="G85" s="33">
        <v>349625</v>
      </c>
      <c r="H85" s="33">
        <v>318158.75</v>
      </c>
      <c r="I85" s="33">
        <v>-17481.25</v>
      </c>
      <c r="J85" s="32" t="s">
        <v>220</v>
      </c>
    </row>
    <row r="86" spans="1:10" x14ac:dyDescent="0.25">
      <c r="A86" s="30" t="s">
        <v>223</v>
      </c>
      <c r="B86" s="30" t="s">
        <v>230</v>
      </c>
      <c r="C86" s="30" t="s">
        <v>238</v>
      </c>
      <c r="D86" s="30">
        <v>1956</v>
      </c>
      <c r="E86" s="31">
        <v>250</v>
      </c>
      <c r="F86" s="31">
        <v>12</v>
      </c>
      <c r="G86" s="31">
        <v>23472</v>
      </c>
      <c r="H86" s="31">
        <v>21359.52</v>
      </c>
      <c r="I86" s="31">
        <v>15491.52</v>
      </c>
      <c r="J86" s="30" t="s">
        <v>214</v>
      </c>
    </row>
    <row r="87" spans="1:10" x14ac:dyDescent="0.25">
      <c r="A87" s="32" t="s">
        <v>211</v>
      </c>
      <c r="B87" s="32" t="s">
        <v>230</v>
      </c>
      <c r="C87" s="32" t="s">
        <v>238</v>
      </c>
      <c r="D87" s="32">
        <v>1351.5</v>
      </c>
      <c r="E87" s="33">
        <v>250</v>
      </c>
      <c r="F87" s="33">
        <v>350</v>
      </c>
      <c r="G87" s="33">
        <v>473025</v>
      </c>
      <c r="H87" s="33">
        <v>430452.75</v>
      </c>
      <c r="I87" s="33">
        <v>79062.75</v>
      </c>
      <c r="J87" s="32" t="s">
        <v>239</v>
      </c>
    </row>
    <row r="88" spans="1:10" x14ac:dyDescent="0.25">
      <c r="A88" s="30" t="s">
        <v>226</v>
      </c>
      <c r="B88" s="30" t="s">
        <v>230</v>
      </c>
      <c r="C88" s="30" t="s">
        <v>238</v>
      </c>
      <c r="D88" s="30">
        <v>1867</v>
      </c>
      <c r="E88" s="31">
        <v>250</v>
      </c>
      <c r="F88" s="31">
        <v>300</v>
      </c>
      <c r="G88" s="31">
        <v>560100</v>
      </c>
      <c r="H88" s="31">
        <v>509691</v>
      </c>
      <c r="I88" s="31">
        <v>42941</v>
      </c>
      <c r="J88" s="30" t="s">
        <v>228</v>
      </c>
    </row>
    <row r="89" spans="1:10" x14ac:dyDescent="0.25">
      <c r="A89" s="32" t="s">
        <v>211</v>
      </c>
      <c r="B89" s="32" t="s">
        <v>230</v>
      </c>
      <c r="C89" s="32" t="s">
        <v>240</v>
      </c>
      <c r="D89" s="32">
        <v>2071</v>
      </c>
      <c r="E89" s="33">
        <v>260</v>
      </c>
      <c r="F89" s="33">
        <v>350</v>
      </c>
      <c r="G89" s="33">
        <v>724850</v>
      </c>
      <c r="H89" s="33">
        <v>659613.5</v>
      </c>
      <c r="I89" s="33">
        <v>121153.5</v>
      </c>
      <c r="J89" s="32" t="s">
        <v>228</v>
      </c>
    </row>
    <row r="90" spans="1:10" x14ac:dyDescent="0.25">
      <c r="A90" s="30" t="s">
        <v>211</v>
      </c>
      <c r="B90" s="30" t="s">
        <v>230</v>
      </c>
      <c r="C90" s="30" t="s">
        <v>231</v>
      </c>
      <c r="D90" s="30">
        <v>973</v>
      </c>
      <c r="E90" s="31">
        <v>10</v>
      </c>
      <c r="F90" s="31">
        <v>20</v>
      </c>
      <c r="G90" s="31">
        <v>19460</v>
      </c>
      <c r="H90" s="31">
        <v>17708.599999999999</v>
      </c>
      <c r="I90" s="31">
        <v>7978.5999999999985</v>
      </c>
      <c r="J90" s="30" t="s">
        <v>222</v>
      </c>
    </row>
    <row r="91" spans="1:10" x14ac:dyDescent="0.25">
      <c r="A91" s="32" t="s">
        <v>223</v>
      </c>
      <c r="B91" s="32" t="s">
        <v>230</v>
      </c>
      <c r="C91" s="32" t="s">
        <v>213</v>
      </c>
      <c r="D91" s="32">
        <v>386</v>
      </c>
      <c r="E91" s="33">
        <v>3</v>
      </c>
      <c r="F91" s="33">
        <v>12</v>
      </c>
      <c r="G91" s="33">
        <v>4632</v>
      </c>
      <c r="H91" s="33">
        <v>4168.8</v>
      </c>
      <c r="I91" s="33">
        <v>3010.8</v>
      </c>
      <c r="J91" s="32" t="s">
        <v>229</v>
      </c>
    </row>
    <row r="92" spans="1:10" x14ac:dyDescent="0.25">
      <c r="A92" s="30" t="s">
        <v>211</v>
      </c>
      <c r="B92" s="30" t="s">
        <v>230</v>
      </c>
      <c r="C92" s="30" t="s">
        <v>221</v>
      </c>
      <c r="D92" s="30">
        <v>2328</v>
      </c>
      <c r="E92" s="31">
        <v>5</v>
      </c>
      <c r="F92" s="31">
        <v>7</v>
      </c>
      <c r="G92" s="31">
        <v>16296</v>
      </c>
      <c r="H92" s="31">
        <v>14666.4</v>
      </c>
      <c r="I92" s="31">
        <v>3026.3999999999996</v>
      </c>
      <c r="J92" s="30" t="s">
        <v>228</v>
      </c>
    </row>
    <row r="93" spans="1:10" x14ac:dyDescent="0.25">
      <c r="A93" s="32" t="s">
        <v>223</v>
      </c>
      <c r="B93" s="32" t="s">
        <v>230</v>
      </c>
      <c r="C93" s="32" t="s">
        <v>231</v>
      </c>
      <c r="D93" s="32">
        <v>386</v>
      </c>
      <c r="E93" s="33">
        <v>10</v>
      </c>
      <c r="F93" s="33">
        <v>12</v>
      </c>
      <c r="G93" s="33">
        <v>4632</v>
      </c>
      <c r="H93" s="33">
        <v>4168.8</v>
      </c>
      <c r="I93" s="33">
        <v>3010.8</v>
      </c>
      <c r="J93" s="32" t="s">
        <v>229</v>
      </c>
    </row>
    <row r="94" spans="1:10" x14ac:dyDescent="0.25">
      <c r="A94" s="30" t="s">
        <v>224</v>
      </c>
      <c r="B94" s="30" t="s">
        <v>230</v>
      </c>
      <c r="C94" s="30" t="s">
        <v>213</v>
      </c>
      <c r="D94" s="30">
        <v>3445.5</v>
      </c>
      <c r="E94" s="31">
        <v>3</v>
      </c>
      <c r="F94" s="31">
        <v>125</v>
      </c>
      <c r="G94" s="31">
        <v>430687.5</v>
      </c>
      <c r="H94" s="31">
        <v>387618.75</v>
      </c>
      <c r="I94" s="31">
        <v>-25841.25</v>
      </c>
      <c r="J94" s="30" t="s">
        <v>239</v>
      </c>
    </row>
    <row r="95" spans="1:10" x14ac:dyDescent="0.25">
      <c r="A95" s="32" t="s">
        <v>211</v>
      </c>
      <c r="B95" s="32" t="s">
        <v>230</v>
      </c>
      <c r="C95" s="32" t="s">
        <v>221</v>
      </c>
      <c r="D95" s="32">
        <v>2313</v>
      </c>
      <c r="E95" s="33">
        <v>5</v>
      </c>
      <c r="F95" s="33">
        <v>350</v>
      </c>
      <c r="G95" s="33">
        <v>809550</v>
      </c>
      <c r="H95" s="33">
        <v>728595</v>
      </c>
      <c r="I95" s="33">
        <v>127215</v>
      </c>
      <c r="J95" s="32" t="s">
        <v>241</v>
      </c>
    </row>
    <row r="96" spans="1:10" x14ac:dyDescent="0.25">
      <c r="A96" s="30" t="s">
        <v>224</v>
      </c>
      <c r="B96" s="30" t="s">
        <v>230</v>
      </c>
      <c r="C96" s="30" t="s">
        <v>221</v>
      </c>
      <c r="D96" s="30">
        <v>1804</v>
      </c>
      <c r="E96" s="31">
        <v>5</v>
      </c>
      <c r="F96" s="31">
        <v>125</v>
      </c>
      <c r="G96" s="31">
        <v>225500</v>
      </c>
      <c r="H96" s="31">
        <v>202950</v>
      </c>
      <c r="I96" s="31">
        <v>-13530</v>
      </c>
      <c r="J96" s="30" t="s">
        <v>235</v>
      </c>
    </row>
    <row r="97" spans="1:10" x14ac:dyDescent="0.25">
      <c r="A97" s="32" t="s">
        <v>216</v>
      </c>
      <c r="B97" s="32" t="s">
        <v>230</v>
      </c>
      <c r="C97" s="32" t="s">
        <v>237</v>
      </c>
      <c r="D97" s="32">
        <v>790</v>
      </c>
      <c r="E97" s="33">
        <v>120</v>
      </c>
      <c r="F97" s="33">
        <v>15</v>
      </c>
      <c r="G97" s="33">
        <v>11850</v>
      </c>
      <c r="H97" s="33">
        <v>10665</v>
      </c>
      <c r="I97" s="33">
        <v>2765</v>
      </c>
      <c r="J97" s="32" t="s">
        <v>241</v>
      </c>
    </row>
    <row r="98" spans="1:10" x14ac:dyDescent="0.25">
      <c r="A98" s="30" t="s">
        <v>224</v>
      </c>
      <c r="B98" s="30" t="s">
        <v>230</v>
      </c>
      <c r="C98" s="30" t="s">
        <v>237</v>
      </c>
      <c r="D98" s="30">
        <v>1596</v>
      </c>
      <c r="E98" s="31">
        <v>120</v>
      </c>
      <c r="F98" s="31">
        <v>125</v>
      </c>
      <c r="G98" s="31">
        <v>199500</v>
      </c>
      <c r="H98" s="31">
        <v>179550</v>
      </c>
      <c r="I98" s="31">
        <v>-11970</v>
      </c>
      <c r="J98" s="30" t="s">
        <v>228</v>
      </c>
    </row>
    <row r="99" spans="1:10" x14ac:dyDescent="0.25">
      <c r="A99" s="32" t="s">
        <v>226</v>
      </c>
      <c r="B99" s="32" t="s">
        <v>230</v>
      </c>
      <c r="C99" s="32" t="s">
        <v>237</v>
      </c>
      <c r="D99" s="32">
        <v>2294</v>
      </c>
      <c r="E99" s="33">
        <v>120</v>
      </c>
      <c r="F99" s="33">
        <v>300</v>
      </c>
      <c r="G99" s="33">
        <v>688200</v>
      </c>
      <c r="H99" s="33">
        <v>619380</v>
      </c>
      <c r="I99" s="33">
        <v>45880</v>
      </c>
      <c r="J99" s="32" t="s">
        <v>229</v>
      </c>
    </row>
    <row r="100" spans="1:10" x14ac:dyDescent="0.25">
      <c r="A100" s="30" t="s">
        <v>211</v>
      </c>
      <c r="B100" s="30" t="s">
        <v>230</v>
      </c>
      <c r="C100" s="30" t="s">
        <v>238</v>
      </c>
      <c r="D100" s="30">
        <v>2807</v>
      </c>
      <c r="E100" s="31">
        <v>250</v>
      </c>
      <c r="F100" s="31">
        <v>350</v>
      </c>
      <c r="G100" s="31">
        <v>982450</v>
      </c>
      <c r="H100" s="31">
        <v>884205</v>
      </c>
      <c r="I100" s="31">
        <v>154385</v>
      </c>
      <c r="J100" s="30" t="s">
        <v>227</v>
      </c>
    </row>
    <row r="101" spans="1:10" x14ac:dyDescent="0.25">
      <c r="A101" s="32" t="s">
        <v>226</v>
      </c>
      <c r="B101" s="32" t="s">
        <v>230</v>
      </c>
      <c r="C101" s="32" t="s">
        <v>238</v>
      </c>
      <c r="D101" s="32">
        <v>2294</v>
      </c>
      <c r="E101" s="33">
        <v>250</v>
      </c>
      <c r="F101" s="33">
        <v>300</v>
      </c>
      <c r="G101" s="33">
        <v>688200</v>
      </c>
      <c r="H101" s="33">
        <v>619380</v>
      </c>
      <c r="I101" s="33">
        <v>45880</v>
      </c>
      <c r="J101" s="32" t="s">
        <v>229</v>
      </c>
    </row>
    <row r="102" spans="1:10" x14ac:dyDescent="0.25">
      <c r="A102" s="30" t="s">
        <v>224</v>
      </c>
      <c r="B102" s="30" t="s">
        <v>230</v>
      </c>
      <c r="C102" s="30" t="s">
        <v>240</v>
      </c>
      <c r="D102" s="30">
        <v>579</v>
      </c>
      <c r="E102" s="31">
        <v>260</v>
      </c>
      <c r="F102" s="31">
        <v>125</v>
      </c>
      <c r="G102" s="31">
        <v>72375</v>
      </c>
      <c r="H102" s="31">
        <v>65137.5</v>
      </c>
      <c r="I102" s="31">
        <v>-4342.5</v>
      </c>
      <c r="J102" s="30" t="s">
        <v>214</v>
      </c>
    </row>
    <row r="103" spans="1:10" x14ac:dyDescent="0.25">
      <c r="A103" s="32" t="s">
        <v>226</v>
      </c>
      <c r="B103" s="32" t="s">
        <v>230</v>
      </c>
      <c r="C103" s="32" t="s">
        <v>240</v>
      </c>
      <c r="D103" s="32">
        <v>2993</v>
      </c>
      <c r="E103" s="33">
        <v>260</v>
      </c>
      <c r="F103" s="33">
        <v>300</v>
      </c>
      <c r="G103" s="33">
        <v>897900</v>
      </c>
      <c r="H103" s="33">
        <v>808110</v>
      </c>
      <c r="I103" s="33">
        <v>59860</v>
      </c>
      <c r="J103" s="32" t="s">
        <v>222</v>
      </c>
    </row>
    <row r="104" spans="1:10" x14ac:dyDescent="0.25">
      <c r="A104" s="30" t="s">
        <v>211</v>
      </c>
      <c r="B104" s="30" t="s">
        <v>230</v>
      </c>
      <c r="C104" s="30" t="s">
        <v>238</v>
      </c>
      <c r="D104" s="30">
        <v>1579</v>
      </c>
      <c r="E104" s="31">
        <v>250</v>
      </c>
      <c r="F104" s="31">
        <v>7</v>
      </c>
      <c r="G104" s="31">
        <v>11053</v>
      </c>
      <c r="H104" s="31">
        <v>9837.17</v>
      </c>
      <c r="I104" s="31">
        <v>1942.17</v>
      </c>
      <c r="J104" s="30" t="s">
        <v>222</v>
      </c>
    </row>
    <row r="105" spans="1:10" x14ac:dyDescent="0.25">
      <c r="A105" s="32" t="s">
        <v>216</v>
      </c>
      <c r="B105" s="32" t="s">
        <v>230</v>
      </c>
      <c r="C105" s="32" t="s">
        <v>240</v>
      </c>
      <c r="D105" s="32">
        <v>3199.5</v>
      </c>
      <c r="E105" s="33">
        <v>260</v>
      </c>
      <c r="F105" s="33">
        <v>15</v>
      </c>
      <c r="G105" s="33">
        <v>47992.5</v>
      </c>
      <c r="H105" s="33">
        <v>42713.324999999997</v>
      </c>
      <c r="I105" s="33">
        <v>10718.324999999999</v>
      </c>
      <c r="J105" s="32" t="s">
        <v>225</v>
      </c>
    </row>
    <row r="106" spans="1:10" x14ac:dyDescent="0.25">
      <c r="A106" s="30" t="s">
        <v>211</v>
      </c>
      <c r="B106" s="30" t="s">
        <v>230</v>
      </c>
      <c r="C106" s="30" t="s">
        <v>231</v>
      </c>
      <c r="D106" s="30">
        <v>380</v>
      </c>
      <c r="E106" s="31">
        <v>10</v>
      </c>
      <c r="F106" s="31">
        <v>7</v>
      </c>
      <c r="G106" s="31">
        <v>2660</v>
      </c>
      <c r="H106" s="31">
        <v>2367.4</v>
      </c>
      <c r="I106" s="31">
        <v>467.40000000000009</v>
      </c>
      <c r="J106" s="30" t="s">
        <v>233</v>
      </c>
    </row>
    <row r="107" spans="1:10" x14ac:dyDescent="0.25">
      <c r="A107" s="32" t="s">
        <v>216</v>
      </c>
      <c r="B107" s="32" t="s">
        <v>230</v>
      </c>
      <c r="C107" s="32" t="s">
        <v>221</v>
      </c>
      <c r="D107" s="32">
        <v>677</v>
      </c>
      <c r="E107" s="33">
        <v>5</v>
      </c>
      <c r="F107" s="33">
        <v>15</v>
      </c>
      <c r="G107" s="33">
        <v>10155</v>
      </c>
      <c r="H107" s="33">
        <v>8936.4</v>
      </c>
      <c r="I107" s="33">
        <v>2166.3999999999996</v>
      </c>
      <c r="J107" s="32" t="s">
        <v>222</v>
      </c>
    </row>
    <row r="108" spans="1:10" x14ac:dyDescent="0.25">
      <c r="A108" s="30" t="s">
        <v>226</v>
      </c>
      <c r="B108" s="30" t="s">
        <v>230</v>
      </c>
      <c r="C108" s="30" t="s">
        <v>231</v>
      </c>
      <c r="D108" s="30">
        <v>3495</v>
      </c>
      <c r="E108" s="31">
        <v>10</v>
      </c>
      <c r="F108" s="31">
        <v>300</v>
      </c>
      <c r="G108" s="31">
        <v>1048500</v>
      </c>
      <c r="H108" s="31">
        <v>922680</v>
      </c>
      <c r="I108" s="31">
        <v>48930</v>
      </c>
      <c r="J108" s="30" t="s">
        <v>214</v>
      </c>
    </row>
    <row r="109" spans="1:10" x14ac:dyDescent="0.25">
      <c r="A109" s="32" t="s">
        <v>211</v>
      </c>
      <c r="B109" s="32" t="s">
        <v>230</v>
      </c>
      <c r="C109" s="32" t="s">
        <v>237</v>
      </c>
      <c r="D109" s="32">
        <v>986</v>
      </c>
      <c r="E109" s="33">
        <v>120</v>
      </c>
      <c r="F109" s="33">
        <v>350</v>
      </c>
      <c r="G109" s="33">
        <v>345100</v>
      </c>
      <c r="H109" s="33">
        <v>303688</v>
      </c>
      <c r="I109" s="33">
        <v>47328</v>
      </c>
      <c r="J109" s="32" t="s">
        <v>234</v>
      </c>
    </row>
    <row r="110" spans="1:10" x14ac:dyDescent="0.25">
      <c r="A110" s="30" t="s">
        <v>211</v>
      </c>
      <c r="B110" s="30" t="s">
        <v>230</v>
      </c>
      <c r="C110" s="30" t="s">
        <v>238</v>
      </c>
      <c r="D110" s="30">
        <v>986</v>
      </c>
      <c r="E110" s="31">
        <v>250</v>
      </c>
      <c r="F110" s="31">
        <v>350</v>
      </c>
      <c r="G110" s="31">
        <v>345100</v>
      </c>
      <c r="H110" s="31">
        <v>303688</v>
      </c>
      <c r="I110" s="31">
        <v>47328</v>
      </c>
      <c r="J110" s="30" t="s">
        <v>234</v>
      </c>
    </row>
    <row r="111" spans="1:10" x14ac:dyDescent="0.25">
      <c r="A111" s="32" t="s">
        <v>224</v>
      </c>
      <c r="B111" s="32" t="s">
        <v>230</v>
      </c>
      <c r="C111" s="32" t="s">
        <v>238</v>
      </c>
      <c r="D111" s="32">
        <v>2387</v>
      </c>
      <c r="E111" s="33">
        <v>250</v>
      </c>
      <c r="F111" s="33">
        <v>125</v>
      </c>
      <c r="G111" s="33">
        <v>298375</v>
      </c>
      <c r="H111" s="33">
        <v>262570</v>
      </c>
      <c r="I111" s="33">
        <v>-23870</v>
      </c>
      <c r="J111" s="32" t="s">
        <v>242</v>
      </c>
    </row>
    <row r="112" spans="1:10" x14ac:dyDescent="0.25">
      <c r="A112" s="30" t="s">
        <v>211</v>
      </c>
      <c r="B112" s="30" t="s">
        <v>230</v>
      </c>
      <c r="C112" s="30" t="s">
        <v>240</v>
      </c>
      <c r="D112" s="30">
        <v>270</v>
      </c>
      <c r="E112" s="31">
        <v>260</v>
      </c>
      <c r="F112" s="31">
        <v>350</v>
      </c>
      <c r="G112" s="31">
        <v>94500</v>
      </c>
      <c r="H112" s="31">
        <v>83160</v>
      </c>
      <c r="I112" s="31">
        <v>12960</v>
      </c>
      <c r="J112" s="30" t="s">
        <v>232</v>
      </c>
    </row>
    <row r="113" spans="1:10" x14ac:dyDescent="0.25">
      <c r="A113" s="32" t="s">
        <v>216</v>
      </c>
      <c r="B113" s="32" t="s">
        <v>230</v>
      </c>
      <c r="C113" s="32" t="s">
        <v>240</v>
      </c>
      <c r="D113" s="32">
        <v>2548</v>
      </c>
      <c r="E113" s="33">
        <v>260</v>
      </c>
      <c r="F113" s="33">
        <v>15</v>
      </c>
      <c r="G113" s="33">
        <v>38220</v>
      </c>
      <c r="H113" s="33">
        <v>33633.599999999999</v>
      </c>
      <c r="I113" s="33">
        <v>8153.5999999999985</v>
      </c>
      <c r="J113" s="32" t="s">
        <v>235</v>
      </c>
    </row>
    <row r="114" spans="1:10" x14ac:dyDescent="0.25">
      <c r="A114" s="30" t="s">
        <v>216</v>
      </c>
      <c r="B114" s="30" t="s">
        <v>230</v>
      </c>
      <c r="C114" s="30" t="s">
        <v>213</v>
      </c>
      <c r="D114" s="30">
        <v>2567</v>
      </c>
      <c r="E114" s="31">
        <v>3</v>
      </c>
      <c r="F114" s="31">
        <v>15</v>
      </c>
      <c r="G114" s="31">
        <v>38505</v>
      </c>
      <c r="H114" s="31">
        <v>33499.35</v>
      </c>
      <c r="I114" s="31">
        <v>7829.3499999999985</v>
      </c>
      <c r="J114" s="30" t="s">
        <v>218</v>
      </c>
    </row>
    <row r="115" spans="1:10" x14ac:dyDescent="0.25">
      <c r="A115" s="32" t="s">
        <v>216</v>
      </c>
      <c r="B115" s="32" t="s">
        <v>230</v>
      </c>
      <c r="C115" s="32" t="s">
        <v>238</v>
      </c>
      <c r="D115" s="32">
        <v>2567</v>
      </c>
      <c r="E115" s="33">
        <v>250</v>
      </c>
      <c r="F115" s="33">
        <v>15</v>
      </c>
      <c r="G115" s="33">
        <v>38505</v>
      </c>
      <c r="H115" s="33">
        <v>33499.35</v>
      </c>
      <c r="I115" s="33">
        <v>7829.3499999999985</v>
      </c>
      <c r="J115" s="32" t="s">
        <v>218</v>
      </c>
    </row>
    <row r="116" spans="1:10" x14ac:dyDescent="0.25">
      <c r="A116" s="30" t="s">
        <v>211</v>
      </c>
      <c r="B116" s="30" t="s">
        <v>230</v>
      </c>
      <c r="C116" s="30" t="s">
        <v>221</v>
      </c>
      <c r="D116" s="30">
        <v>982.5</v>
      </c>
      <c r="E116" s="31">
        <v>5</v>
      </c>
      <c r="F116" s="31">
        <v>350</v>
      </c>
      <c r="G116" s="31">
        <v>343875</v>
      </c>
      <c r="H116" s="31">
        <v>299171.25</v>
      </c>
      <c r="I116" s="31">
        <v>43721.25</v>
      </c>
      <c r="J116" s="30" t="s">
        <v>214</v>
      </c>
    </row>
    <row r="117" spans="1:10" x14ac:dyDescent="0.25">
      <c r="A117" s="32" t="s">
        <v>211</v>
      </c>
      <c r="B117" s="32" t="s">
        <v>230</v>
      </c>
      <c r="C117" s="32" t="s">
        <v>221</v>
      </c>
      <c r="D117" s="32">
        <v>1298</v>
      </c>
      <c r="E117" s="33">
        <v>5</v>
      </c>
      <c r="F117" s="33">
        <v>7</v>
      </c>
      <c r="G117" s="33">
        <v>9086</v>
      </c>
      <c r="H117" s="33">
        <v>7904.82</v>
      </c>
      <c r="I117" s="33">
        <v>1414.8199999999997</v>
      </c>
      <c r="J117" s="32" t="s">
        <v>232</v>
      </c>
    </row>
    <row r="118" spans="1:10" x14ac:dyDescent="0.25">
      <c r="A118" s="30" t="s">
        <v>211</v>
      </c>
      <c r="B118" s="30" t="s">
        <v>230</v>
      </c>
      <c r="C118" s="30" t="s">
        <v>231</v>
      </c>
      <c r="D118" s="30">
        <v>1438.5</v>
      </c>
      <c r="E118" s="31">
        <v>10</v>
      </c>
      <c r="F118" s="31">
        <v>7</v>
      </c>
      <c r="G118" s="31">
        <v>10069.5</v>
      </c>
      <c r="H118" s="31">
        <v>8760.4650000000001</v>
      </c>
      <c r="I118" s="31">
        <v>1567.9649999999992</v>
      </c>
      <c r="J118" s="30" t="s">
        <v>214</v>
      </c>
    </row>
    <row r="119" spans="1:10" x14ac:dyDescent="0.25">
      <c r="A119" s="32" t="s">
        <v>211</v>
      </c>
      <c r="B119" s="32" t="s">
        <v>230</v>
      </c>
      <c r="C119" s="32" t="s">
        <v>231</v>
      </c>
      <c r="D119" s="32">
        <v>2641</v>
      </c>
      <c r="E119" s="33">
        <v>10</v>
      </c>
      <c r="F119" s="33">
        <v>20</v>
      </c>
      <c r="G119" s="33">
        <v>52820</v>
      </c>
      <c r="H119" s="33">
        <v>45953.4</v>
      </c>
      <c r="I119" s="33">
        <v>19543.400000000001</v>
      </c>
      <c r="J119" s="32" t="s">
        <v>232</v>
      </c>
    </row>
    <row r="120" spans="1:10" x14ac:dyDescent="0.25">
      <c r="A120" s="30" t="s">
        <v>211</v>
      </c>
      <c r="B120" s="30" t="s">
        <v>230</v>
      </c>
      <c r="C120" s="30" t="s">
        <v>213</v>
      </c>
      <c r="D120" s="30">
        <v>1743</v>
      </c>
      <c r="E120" s="31">
        <v>3</v>
      </c>
      <c r="F120" s="31">
        <v>20</v>
      </c>
      <c r="G120" s="31">
        <v>34860</v>
      </c>
      <c r="H120" s="31">
        <v>29979.599999999999</v>
      </c>
      <c r="I120" s="31">
        <v>12549.599999999999</v>
      </c>
      <c r="J120" s="30" t="s">
        <v>241</v>
      </c>
    </row>
    <row r="121" spans="1:10" x14ac:dyDescent="0.25">
      <c r="A121" s="32" t="s">
        <v>211</v>
      </c>
      <c r="B121" s="32" t="s">
        <v>230</v>
      </c>
      <c r="C121" s="32" t="s">
        <v>213</v>
      </c>
      <c r="D121" s="32">
        <v>2996</v>
      </c>
      <c r="E121" s="33">
        <v>3</v>
      </c>
      <c r="F121" s="33">
        <v>7</v>
      </c>
      <c r="G121" s="33">
        <v>20972</v>
      </c>
      <c r="H121" s="33">
        <v>18035.919999999998</v>
      </c>
      <c r="I121" s="33">
        <v>3055.9199999999983</v>
      </c>
      <c r="J121" s="32" t="s">
        <v>229</v>
      </c>
    </row>
    <row r="122" spans="1:10" x14ac:dyDescent="0.25">
      <c r="A122" s="30" t="s">
        <v>211</v>
      </c>
      <c r="B122" s="30" t="s">
        <v>230</v>
      </c>
      <c r="C122" s="30" t="s">
        <v>221</v>
      </c>
      <c r="D122" s="30">
        <v>2996</v>
      </c>
      <c r="E122" s="31">
        <v>5</v>
      </c>
      <c r="F122" s="31">
        <v>7</v>
      </c>
      <c r="G122" s="31">
        <v>20972</v>
      </c>
      <c r="H122" s="31">
        <v>18035.919999999998</v>
      </c>
      <c r="I122" s="31">
        <v>3055.9199999999983</v>
      </c>
      <c r="J122" s="30" t="s">
        <v>229</v>
      </c>
    </row>
    <row r="123" spans="1:10" x14ac:dyDescent="0.25">
      <c r="A123" s="32" t="s">
        <v>216</v>
      </c>
      <c r="B123" s="32" t="s">
        <v>230</v>
      </c>
      <c r="C123" s="32" t="s">
        <v>231</v>
      </c>
      <c r="D123" s="32">
        <v>1767</v>
      </c>
      <c r="E123" s="33">
        <v>10</v>
      </c>
      <c r="F123" s="33">
        <v>15</v>
      </c>
      <c r="G123" s="33">
        <v>26505</v>
      </c>
      <c r="H123" s="33">
        <v>22794.3</v>
      </c>
      <c r="I123" s="33">
        <v>5124.2999999999993</v>
      </c>
      <c r="J123" s="32" t="s">
        <v>228</v>
      </c>
    </row>
    <row r="124" spans="1:10" x14ac:dyDescent="0.25">
      <c r="A124" s="30" t="s">
        <v>223</v>
      </c>
      <c r="B124" s="30" t="s">
        <v>230</v>
      </c>
      <c r="C124" s="30" t="s">
        <v>240</v>
      </c>
      <c r="D124" s="30">
        <v>2015</v>
      </c>
      <c r="E124" s="31">
        <v>260</v>
      </c>
      <c r="F124" s="31">
        <v>12</v>
      </c>
      <c r="G124" s="31">
        <v>24180</v>
      </c>
      <c r="H124" s="31">
        <v>20794.8</v>
      </c>
      <c r="I124" s="31">
        <v>14749.8</v>
      </c>
      <c r="J124" s="30" t="s">
        <v>236</v>
      </c>
    </row>
    <row r="125" spans="1:10" x14ac:dyDescent="0.25">
      <c r="A125" s="32" t="s">
        <v>226</v>
      </c>
      <c r="B125" s="32" t="s">
        <v>230</v>
      </c>
      <c r="C125" s="32" t="s">
        <v>213</v>
      </c>
      <c r="D125" s="32">
        <v>1010</v>
      </c>
      <c r="E125" s="33">
        <v>3</v>
      </c>
      <c r="F125" s="33">
        <v>300</v>
      </c>
      <c r="G125" s="33">
        <v>303000</v>
      </c>
      <c r="H125" s="33">
        <v>260580</v>
      </c>
      <c r="I125" s="33">
        <v>8080</v>
      </c>
      <c r="J125" s="32" t="s">
        <v>234</v>
      </c>
    </row>
    <row r="126" spans="1:10" x14ac:dyDescent="0.25">
      <c r="A126" s="30" t="s">
        <v>223</v>
      </c>
      <c r="B126" s="30" t="s">
        <v>230</v>
      </c>
      <c r="C126" s="30" t="s">
        <v>231</v>
      </c>
      <c r="D126" s="30">
        <v>2914</v>
      </c>
      <c r="E126" s="31">
        <v>10</v>
      </c>
      <c r="F126" s="31">
        <v>12</v>
      </c>
      <c r="G126" s="31">
        <v>34968</v>
      </c>
      <c r="H126" s="31">
        <v>30072.48</v>
      </c>
      <c r="I126" s="31">
        <v>21330.48</v>
      </c>
      <c r="J126" s="30" t="s">
        <v>234</v>
      </c>
    </row>
    <row r="127" spans="1:10" x14ac:dyDescent="0.25">
      <c r="A127" s="32" t="s">
        <v>211</v>
      </c>
      <c r="B127" s="32" t="s">
        <v>230</v>
      </c>
      <c r="C127" s="32" t="s">
        <v>231</v>
      </c>
      <c r="D127" s="32">
        <v>1177</v>
      </c>
      <c r="E127" s="33">
        <v>10</v>
      </c>
      <c r="F127" s="33">
        <v>350</v>
      </c>
      <c r="G127" s="33">
        <v>411950</v>
      </c>
      <c r="H127" s="33">
        <v>354277</v>
      </c>
      <c r="I127" s="33">
        <v>48257</v>
      </c>
      <c r="J127" s="32" t="s">
        <v>242</v>
      </c>
    </row>
    <row r="128" spans="1:10" x14ac:dyDescent="0.25">
      <c r="A128" s="30" t="s">
        <v>211</v>
      </c>
      <c r="B128" s="30" t="s">
        <v>230</v>
      </c>
      <c r="C128" s="30" t="s">
        <v>237</v>
      </c>
      <c r="D128" s="30">
        <v>606</v>
      </c>
      <c r="E128" s="31">
        <v>120</v>
      </c>
      <c r="F128" s="31">
        <v>20</v>
      </c>
      <c r="G128" s="31">
        <v>12120</v>
      </c>
      <c r="H128" s="31">
        <v>10423.200000000001</v>
      </c>
      <c r="I128" s="31">
        <v>4363.2000000000007</v>
      </c>
      <c r="J128" s="30" t="s">
        <v>239</v>
      </c>
    </row>
    <row r="129" spans="1:10" x14ac:dyDescent="0.25">
      <c r="A129" s="32" t="s">
        <v>226</v>
      </c>
      <c r="B129" s="32" t="s">
        <v>230</v>
      </c>
      <c r="C129" s="32" t="s">
        <v>237</v>
      </c>
      <c r="D129" s="32">
        <v>2460</v>
      </c>
      <c r="E129" s="33">
        <v>120</v>
      </c>
      <c r="F129" s="33">
        <v>300</v>
      </c>
      <c r="G129" s="33">
        <v>738000</v>
      </c>
      <c r="H129" s="33">
        <v>634680</v>
      </c>
      <c r="I129" s="33">
        <v>19680</v>
      </c>
      <c r="J129" s="32" t="s">
        <v>225</v>
      </c>
    </row>
    <row r="130" spans="1:10" x14ac:dyDescent="0.25">
      <c r="A130" s="30" t="s">
        <v>226</v>
      </c>
      <c r="B130" s="30" t="s">
        <v>230</v>
      </c>
      <c r="C130" s="30" t="s">
        <v>238</v>
      </c>
      <c r="D130" s="30">
        <v>2541</v>
      </c>
      <c r="E130" s="31">
        <v>250</v>
      </c>
      <c r="F130" s="31">
        <v>300</v>
      </c>
      <c r="G130" s="31">
        <v>762300</v>
      </c>
      <c r="H130" s="31">
        <v>655578</v>
      </c>
      <c r="I130" s="31">
        <v>20328</v>
      </c>
      <c r="J130" s="30" t="s">
        <v>227</v>
      </c>
    </row>
    <row r="131" spans="1:10" x14ac:dyDescent="0.25">
      <c r="A131" s="32" t="s">
        <v>226</v>
      </c>
      <c r="B131" s="32" t="s">
        <v>230</v>
      </c>
      <c r="C131" s="32" t="s">
        <v>238</v>
      </c>
      <c r="D131" s="32">
        <v>1010</v>
      </c>
      <c r="E131" s="33">
        <v>250</v>
      </c>
      <c r="F131" s="33">
        <v>300</v>
      </c>
      <c r="G131" s="33">
        <v>303000</v>
      </c>
      <c r="H131" s="33">
        <v>260580</v>
      </c>
      <c r="I131" s="33">
        <v>8080</v>
      </c>
      <c r="J131" s="32" t="s">
        <v>234</v>
      </c>
    </row>
    <row r="132" spans="1:10" x14ac:dyDescent="0.25">
      <c r="A132" s="30" t="s">
        <v>224</v>
      </c>
      <c r="B132" s="30" t="s">
        <v>230</v>
      </c>
      <c r="C132" s="30" t="s">
        <v>240</v>
      </c>
      <c r="D132" s="30">
        <v>2844</v>
      </c>
      <c r="E132" s="31">
        <v>260</v>
      </c>
      <c r="F132" s="31">
        <v>125</v>
      </c>
      <c r="G132" s="31">
        <v>355500</v>
      </c>
      <c r="H132" s="31">
        <v>305730</v>
      </c>
      <c r="I132" s="31">
        <v>-35550</v>
      </c>
      <c r="J132" s="30" t="s">
        <v>241</v>
      </c>
    </row>
    <row r="133" spans="1:10" x14ac:dyDescent="0.25">
      <c r="A133" s="32" t="s">
        <v>223</v>
      </c>
      <c r="B133" s="32" t="s">
        <v>230</v>
      </c>
      <c r="C133" s="32" t="s">
        <v>240</v>
      </c>
      <c r="D133" s="32">
        <v>2914</v>
      </c>
      <c r="E133" s="33">
        <v>260</v>
      </c>
      <c r="F133" s="33">
        <v>12</v>
      </c>
      <c r="G133" s="33">
        <v>34968</v>
      </c>
      <c r="H133" s="33">
        <v>30072.48</v>
      </c>
      <c r="I133" s="33">
        <v>21330.48</v>
      </c>
      <c r="J133" s="32" t="s">
        <v>234</v>
      </c>
    </row>
    <row r="134" spans="1:10" x14ac:dyDescent="0.25">
      <c r="A134" s="30" t="s">
        <v>211</v>
      </c>
      <c r="B134" s="30" t="s">
        <v>230</v>
      </c>
      <c r="C134" s="30" t="s">
        <v>231</v>
      </c>
      <c r="D134" s="30">
        <v>267</v>
      </c>
      <c r="E134" s="31">
        <v>10</v>
      </c>
      <c r="F134" s="31">
        <v>20</v>
      </c>
      <c r="G134" s="31">
        <v>5340</v>
      </c>
      <c r="H134" s="31">
        <v>4539</v>
      </c>
      <c r="I134" s="31">
        <v>1869</v>
      </c>
      <c r="J134" s="30" t="s">
        <v>229</v>
      </c>
    </row>
    <row r="135" spans="1:10" x14ac:dyDescent="0.25">
      <c r="A135" s="32" t="s">
        <v>211</v>
      </c>
      <c r="B135" s="32" t="s">
        <v>230</v>
      </c>
      <c r="C135" s="32" t="s">
        <v>231</v>
      </c>
      <c r="D135" s="32">
        <v>2007</v>
      </c>
      <c r="E135" s="33">
        <v>10</v>
      </c>
      <c r="F135" s="33">
        <v>350</v>
      </c>
      <c r="G135" s="33">
        <v>702450</v>
      </c>
      <c r="H135" s="33">
        <v>597082.5</v>
      </c>
      <c r="I135" s="33">
        <v>75262.5</v>
      </c>
      <c r="J135" s="32" t="s">
        <v>235</v>
      </c>
    </row>
    <row r="136" spans="1:10" x14ac:dyDescent="0.25">
      <c r="A136" s="30" t="s">
        <v>223</v>
      </c>
      <c r="B136" s="30" t="s">
        <v>230</v>
      </c>
      <c r="C136" s="30" t="s">
        <v>231</v>
      </c>
      <c r="D136" s="30">
        <v>914</v>
      </c>
      <c r="E136" s="31">
        <v>10</v>
      </c>
      <c r="F136" s="31">
        <v>12</v>
      </c>
      <c r="G136" s="31">
        <v>10968</v>
      </c>
      <c r="H136" s="31">
        <v>9322.7999999999993</v>
      </c>
      <c r="I136" s="31">
        <v>6580.7999999999993</v>
      </c>
      <c r="J136" s="30" t="s">
        <v>220</v>
      </c>
    </row>
    <row r="137" spans="1:10" x14ac:dyDescent="0.25">
      <c r="A137" s="32" t="s">
        <v>226</v>
      </c>
      <c r="B137" s="32" t="s">
        <v>230</v>
      </c>
      <c r="C137" s="32" t="s">
        <v>237</v>
      </c>
      <c r="D137" s="32">
        <v>2574</v>
      </c>
      <c r="E137" s="33">
        <v>120</v>
      </c>
      <c r="F137" s="33">
        <v>300</v>
      </c>
      <c r="G137" s="33">
        <v>772200</v>
      </c>
      <c r="H137" s="33">
        <v>656370</v>
      </c>
      <c r="I137" s="33">
        <v>12870</v>
      </c>
      <c r="J137" s="32" t="s">
        <v>235</v>
      </c>
    </row>
    <row r="138" spans="1:10" x14ac:dyDescent="0.25">
      <c r="A138" s="30" t="s">
        <v>224</v>
      </c>
      <c r="B138" s="30" t="s">
        <v>230</v>
      </c>
      <c r="C138" s="30" t="s">
        <v>237</v>
      </c>
      <c r="D138" s="30">
        <v>2438</v>
      </c>
      <c r="E138" s="31">
        <v>120</v>
      </c>
      <c r="F138" s="31">
        <v>125</v>
      </c>
      <c r="G138" s="31">
        <v>304750</v>
      </c>
      <c r="H138" s="31">
        <v>259037.5</v>
      </c>
      <c r="I138" s="31">
        <v>-33522.5</v>
      </c>
      <c r="J138" s="30" t="s">
        <v>236</v>
      </c>
    </row>
    <row r="139" spans="1:10" x14ac:dyDescent="0.25">
      <c r="A139" s="32" t="s">
        <v>223</v>
      </c>
      <c r="B139" s="32" t="s">
        <v>230</v>
      </c>
      <c r="C139" s="32" t="s">
        <v>237</v>
      </c>
      <c r="D139" s="32">
        <v>914</v>
      </c>
      <c r="E139" s="33">
        <v>120</v>
      </c>
      <c r="F139" s="33">
        <v>12</v>
      </c>
      <c r="G139" s="33">
        <v>10968</v>
      </c>
      <c r="H139" s="33">
        <v>9322.7999999999993</v>
      </c>
      <c r="I139" s="33">
        <v>6580.7999999999993</v>
      </c>
      <c r="J139" s="32" t="s">
        <v>220</v>
      </c>
    </row>
    <row r="140" spans="1:10" x14ac:dyDescent="0.25">
      <c r="A140" s="30" t="s">
        <v>211</v>
      </c>
      <c r="B140" s="30" t="s">
        <v>230</v>
      </c>
      <c r="C140" s="30" t="s">
        <v>238</v>
      </c>
      <c r="D140" s="30">
        <v>267</v>
      </c>
      <c r="E140" s="31">
        <v>250</v>
      </c>
      <c r="F140" s="31">
        <v>20</v>
      </c>
      <c r="G140" s="31">
        <v>5340</v>
      </c>
      <c r="H140" s="31">
        <v>4539</v>
      </c>
      <c r="I140" s="31">
        <v>1869</v>
      </c>
      <c r="J140" s="30" t="s">
        <v>229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topLeftCell="A4" workbookViewId="0">
      <selection activeCell="Q20" sqref="Q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Hoja1</vt:lpstr>
      <vt:lpstr>Canadá</vt:lpstr>
      <vt:lpstr>Francia</vt:lpstr>
      <vt:lpstr>Alemania</vt:lpstr>
      <vt:lpstr>México</vt:lpstr>
      <vt:lpstr>EU</vt:lpstr>
      <vt:lpstr>POWERBI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2021-08-16T21:34:29Z</dcterms:modified>
</cp:coreProperties>
</file>